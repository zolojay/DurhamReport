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ables/table1.xml" ContentType="application/vnd.openxmlformats-officedocument.spreadsheetml.table+xml"/>
  <Override PartName="/xl/worksheets/sheet11.xml" ContentType="application/vnd.openxmlformats-officedocument.spreadsheetml.worksheet+xml"/>
  <Override PartName="/xl/tables/table2.xml" ContentType="application/vnd.openxmlformats-officedocument.spreadsheetml.table+xml"/>
  <Override PartName="/xl/worksheets/sheet12.xml" ContentType="application/vnd.openxmlformats-officedocument.spreadsheetml.worksheet+xml"/>
  <Override PartName="/xl/tables/table3.xml" ContentType="application/vnd.openxmlformats-officedocument.spreadsheetml.table+xml"/>
  <Override PartName="/xl/worksheets/sheet13.xml" ContentType="application/vnd.openxmlformats-officedocument.spreadsheetml.worksheet+xml"/>
  <Override PartName="/xl/tables/table4.xml" ContentType="application/vnd.openxmlformats-officedocument.spreadsheetml.table+xml"/>
  <Override PartName="/xl/worksheets/sheet14.xml" ContentType="application/vnd.openxmlformats-officedocument.spreadsheetml.worksheet+xml"/>
  <Override PartName="/xl/tables/table5.xml" ContentType="application/vnd.openxmlformats-officedocument.spreadsheetml.table+xml"/>
  <Override PartName="/xl/worksheets/sheet15.xml" ContentType="application/vnd.openxmlformats-officedocument.spreadsheetml.worksheet+xml"/>
  <Override PartName="/xl/tables/table6.xml" ContentType="application/vnd.openxmlformats-officedocument.spreadsheetml.table+xml"/>
  <Override PartName="/xl/worksheets/sheet16.xml" ContentType="application/vnd.openxmlformats-officedocument.spreadsheetml.worksheet+xml"/>
  <Override PartName="/xl/tables/table7.xml" ContentType="application/vnd.openxmlformats-officedocument.spreadsheetml.table+xml"/>
  <Override PartName="/xl/worksheets/sheet17.xml" ContentType="application/vnd.openxmlformats-officedocument.spreadsheetml.worksheet+xml"/>
  <Override PartName="/xl/tables/table8.xml" ContentType="application/vnd.openxmlformats-officedocument.spreadsheetml.table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name="Home" sheetId="1" state="visible" r:id="rId1"/>
    <sheet name="Specifications" sheetId="2" state="visible" r:id="rId2"/>
    <sheet name="HC Geometry" sheetId="3" state="hidden" r:id="rId3"/>
    <sheet name="Plate Geometry" sheetId="4" state="hidden" r:id="rId4"/>
    <sheet name="Corrugated Geometry" sheetId="5" state="hidden" r:id="rId5"/>
    <sheet name="Setup Summary" sheetId="6" state="hidden" r:id="rId6"/>
    <sheet name="Activity" sheetId="7" state="hidden" r:id="rId7"/>
    <sheet name="Conversion" sheetId="8" state="hidden" r:id="rId8"/>
    <sheet name="DP" sheetId="9" state="hidden" r:id="rId9"/>
    <sheet name="NOx Data" sheetId="10" state="veryHidden" r:id="rId10"/>
    <sheet name="NH3 Data" sheetId="11" state="veryHidden" r:id="rId11"/>
    <sheet name="SO2 Data" sheetId="12" state="veryHidden" r:id="rId12"/>
    <sheet name="SO3 Data" sheetId="13" state="veryHidden" r:id="rId13"/>
    <sheet name="Temperature Data" sheetId="14" state="veryHidden" r:id="rId14"/>
    <sheet name="Flow Data" sheetId="15" state="veryHidden" r:id="rId15"/>
    <sheet name="O2 Data" sheetId="16" state="veryHidden" r:id="rId16"/>
    <sheet name="DP Data" sheetId="17" state="veryHidden" r:id="rId17"/>
    <sheet name="Geometry Calc" sheetId="18" state="veryHidden" r:id="rId18"/>
    <sheet name="Control" sheetId="19" state="veryHidden" r:id="rId19"/>
    <sheet name="Product Specs" sheetId="20" state="veryHidden" r:id="rId20"/>
    <sheet name="Lists" sheetId="21" state="veryHidden" r:id="rId21"/>
    <sheet name="Constants" sheetId="22" state="veryHidden" r:id="rId22"/>
  </sheets>
  <definedNames>
    <definedName name="Ctrl_TestID">'Control'!$C$3</definedName>
    <definedName name="Ctrl_WorkbookState">'Control'!$C$4</definedName>
    <definedName name="Ctrl_ActiveGeometryType">'Control'!$C$5</definedName>
    <definedName name="Ctrl_TestStartTimestamp">'Control'!$C$6</definedName>
    <definedName name="Ctrl_SetupEnteredBy">'Control'!$C$7</definedName>
    <definedName name="Ctrl_SetupEnteredAt">'Control'!$C$8</definedName>
    <definedName name="Ctrl_Verified1By">'Control'!$C$9</definedName>
    <definedName name="Ctrl_Verified1At">'Control'!$C$10</definedName>
    <definedName name="Ctrl_Verified2By">'Control'!$C$11</definedName>
    <definedName name="Ctrl_Verified2At">'Control'!$C$12</definedName>
    <definedName name="Ctrl_SetupSignoffComplete">'Control'!$C$13</definedName>
    <definedName name="Spec_Temp_Tolerance_C">'Specifications'!$C$4</definedName>
    <definedName name="Spec_Flow_Tolerance_Pct">'Specifications'!$C$5</definedName>
    <definedName name="Spec_O2_Tolerance_Pct">'Specifications'!$C$6</definedName>
    <definedName name="Spec_NOx_Tolerance_Pct">'Specifications'!$C$7</definedName>
    <definedName name="Spec_SO2_Tolerance_Pct">'Specifications'!$C$8</definedName>
    <definedName name="Spec_NH3_Tolerance_Pct">'Specifications'!$C$9</definedName>
    <definedName name="Spec_MR_Tolerance">'Specifications'!$C$10</definedName>
    <definedName name="Spec_SS_MinPoints">'Specifications'!$C$11</definedName>
    <definedName name="Spec_SS_K_StdDev_Max">'Specifications'!$C$12</definedName>
    <definedName name="Spec_SS_NormSlope_Max">'Specifications'!$C$13</definedName>
    <definedName name="Spec_SS_Conv_StdDev_Max">'Specifications'!$C$14</definedName>
    <definedName name="Spec_SS_Conv_NormSlope_Max">'Specifications'!$C$15</definedName>
    <definedName name="Spec_DP_PctTheory_Warning">'Specifications'!$C$16</definedName>
    <definedName name="Spec_DP_PctTheory_Fail">'Specifications'!$C$17</definedName>
    <definedName name="H2O_Reference">'Constants'!$C$4</definedName>
    <definedName name="MolarMass_NO">'Constants'!$C$5</definedName>
    <definedName name="MolarMass_NO2">'Constants'!$C$6</definedName>
    <definedName name="MolarMass_NH3">'Constants'!$C$7</definedName>
    <definedName name="MolarMass_SO2">'Constants'!$C$8</definedName>
    <definedName name="MolarMass_SO3">'Constants'!$C$9</definedName>
    <definedName name="STP_Temp_K">'Constants'!$C$10</definedName>
    <definedName name="STP_Pressure_mmHg">'Constants'!$C$11</definedName>
    <definedName name="IdealGasVol_L">'Constants'!$C$12</definedName>
    <definedName name="Nm3_to_scfm_Factor">'Constants'!$C$13</definedName>
    <definedName name="GC_AvgAdjFFA">'Geometry Calc'!$C$61</definedName>
    <definedName name="GC_TotalAdjArea">'Geometry Calc'!$C$62</definedName>
    <definedName name="GC_ActiveLayers">'Geometry Calc'!$C$63</definedName>
    <definedName name="GC_Flow_Act_Nm3h">'Geometry Calc'!$C$64</definedName>
    <definedName name="GC_Flow_Conv_Nm3h">'Geometry Calc'!$C$65</definedName>
    <definedName name="GC_Flow_Act_scfm">'Geometry Calc'!$C$66</definedName>
    <definedName name="GC_Flow_Conv_scfm">'Geometry Calc'!$C$67</definedName>
    <definedName name="GC_AV_Act">'Geometry Calc'!$C$68</definedName>
    <definedName name="GC_AV_Conv">'Geometry Calc'!$C$69</definedName>
    <definedName name="GC_Flow_Act_Status">'Geometry Calc'!$C$70</definedName>
    <definedName name="GC_Flow_Conv_Status">'Geometry Calc'!$C$71</definedName>
    <definedName name="GC_SO3_Inj_Act">'Geometry Calc'!$C$72</definedName>
    <definedName name="GC_SO3_Inj_Conv">'Geometry Calc'!$C$73</definedName>
    <definedName name="GC_NH3_Inj_Act">'Geometry Calc'!$C$74</definedName>
    <definedName name="GC_NH3_Inj_Conv">'Geometry Calc'!$C$75</definedName>
    <definedName name="GC_SO2_Inj_Act">'Geometry Calc'!$C$76</definedName>
    <definedName name="GC_SO2_Inj_Conv">'Geometry Calc'!$C$77</definedName>
    <definedName name="List_SampleType">'Lists'!$B$4:$B$6</definedName>
    <definedName name="List_GeometryType">'Lists'!$C$4:$C$6</definedName>
    <definedName name="List_TestType">'Lists'!$D$4:$D$5</definedName>
    <definedName name="List_SamplePoint">'Lists'!$E$4:$E$5</definedName>
    <definedName name="List_NOxAnalyzer">'Lists'!$F$4:$F$5</definedName>
    <definedName name="List_NH3Method">'Lists'!$G$4:$G$5</definedName>
    <definedName name="List_SO2Method">'Lists'!$H$4:$H$5</definedName>
    <definedName name="List_SO2Stage">'Lists'!$I$4:$I$6</definedName>
    <definedName name="List_TempContext">'Lists'!$J$4:$J$5</definedName>
    <definedName name="List_FlowContext">'Lists'!$K$4:$K$5</definedName>
    <definedName name="List_O2Context">'Lists'!$L$4:$L$5</definedName>
    <definedName name="List_EntryType">'Lists'!$M$4:$M$6</definedName>
    <definedName name="List_YesNo">'Lists'!$N$4:$N$5</definedName>
    <definedName name="List_TrueFalse">'Lists'!$O$4:$O$5</definedName>
    <definedName name="List_InletSO3Source">'Lists'!$P$4:$P$5</definedName>
    <definedName name="List_SO2Source">'Lists'!$Q$4:$Q$6</definedName>
    <definedName name="List_Technicians">'Lists'!$R$4:$R$7</definedName>
    <definedName name="_xlnm.Print_Area" localSheetId="0">'Home'!$A$1:$E$46</definedName>
    <definedName name="_xlnm.Print_Area" localSheetId="1">'Specifications'!$A$1:$D$17</definedName>
    <definedName name="_xlnm.Print_Area" localSheetId="2">'HC Geometry'!$A$1:$K$20</definedName>
    <definedName name="_xlnm.Print_Area" localSheetId="3">'Plate Geometry'!$A$1:$F$45</definedName>
    <definedName name="_xlnm.Print_Area" localSheetId="4">'Corrugated Geometry'!$A$1:$H$17</definedName>
    <definedName name="_xlnm.Print_Area" localSheetId="5">'Setup Summary'!$A$1:$E$44</definedName>
    <definedName name="_xlnm.Print_Area" localSheetId="6">'Activity'!$A$1:$P$73</definedName>
    <definedName name="_xlnm.Print_Area" localSheetId="7">'Conversion'!$A$1:$L$84</definedName>
    <definedName name="_xlnm.Print_Area" localSheetId="8">'DP'!$A$1:$K$16</definedName>
  </definedNames>
  <calcPr calcId="124519" fullCalcOnLoad="1"/>
</workbook>
</file>

<file path=xl/styles.xml><?xml version="1.0" encoding="utf-8"?>
<styleSheet xmlns="http://schemas.openxmlformats.org/spreadsheetml/2006/main">
  <numFmts count="0"/>
  <fonts count="10">
    <font>
      <name val="Calibri"/>
      <family val="2"/>
      <color theme="1"/>
      <sz val="11"/>
      <scheme val="minor"/>
    </font>
    <font>
      <name val="Calibri"/>
      <b val="1"/>
      <color rgb="00FFFFFF"/>
      <sz val="16"/>
    </font>
    <font>
      <name val="Calibri"/>
      <b val="1"/>
      <color rgb="00FFFFFF"/>
      <sz val="14"/>
    </font>
    <font>
      <name val="Calibri"/>
      <b val="1"/>
      <sz val="11"/>
    </font>
    <font>
      <name val="Calibri"/>
      <sz val="11"/>
    </font>
    <font>
      <name val="Calibri"/>
      <b val="1"/>
      <color rgb="00FFFFFF"/>
      <sz val="11"/>
    </font>
    <font>
      <name val="Calibri"/>
      <b val="1"/>
      <color rgb="002C3A8C"/>
      <sz val="11"/>
    </font>
    <font>
      <name val="Calibri"/>
      <sz val="10"/>
    </font>
    <font>
      <name val="Calibri"/>
      <i val="1"/>
      <sz val="11"/>
    </font>
    <font>
      <name val="Calibri"/>
      <b val="1"/>
      <color rgb="00FFFFFF"/>
      <sz val="12"/>
    </font>
  </fonts>
  <fills count="8">
    <fill>
      <patternFill/>
    </fill>
    <fill>
      <patternFill patternType="gray125"/>
    </fill>
    <fill>
      <patternFill patternType="solid">
        <fgColor rgb="000E1638"/>
        <bgColor rgb="000E1638"/>
      </patternFill>
    </fill>
    <fill>
      <patternFill patternType="solid">
        <fgColor rgb="002C3A8C"/>
        <bgColor rgb="002C3A8C"/>
      </patternFill>
    </fill>
    <fill>
      <patternFill patternType="solid">
        <fgColor rgb="00E8EAF6"/>
        <bgColor rgb="00E8EAF6"/>
      </patternFill>
    </fill>
    <fill>
      <patternFill patternType="solid">
        <fgColor rgb="00FFF9C4"/>
        <bgColor rgb="00FFF9C4"/>
      </patternFill>
    </fill>
    <fill>
      <patternFill patternType="solid">
        <fgColor rgb="004C5CE0"/>
        <bgColor rgb="004C5CE0"/>
      </patternFill>
    </fill>
    <fill>
      <patternFill patternType="solid">
        <fgColor rgb="00E8E8E8"/>
        <bgColor rgb="00E8E8E8"/>
      </patternFill>
    </fill>
  </fills>
  <borders count="6">
    <border>
      <left/>
      <right/>
      <top/>
      <bottom/>
      <diagonal/>
    </border>
    <border>
      <left style="thin"/>
      <right style="thin"/>
      <top style="thin"/>
      <bottom style="thin"/>
    </border>
    <border>
      <left/>
      <right/>
      <top style="thin"/>
      <bottom/>
      <diagonal/>
    </border>
    <border>
      <left/>
      <right style="thin"/>
      <top style="thin"/>
      <bottom/>
      <diagonal/>
    </border>
    <border>
      <left/>
      <right/>
      <top style="thin"/>
      <bottom style="thin"/>
      <diagonal/>
    </border>
    <border>
      <left/>
      <right style="thin"/>
      <top style="thin"/>
      <bottom style="thin"/>
      <diagonal/>
    </border>
  </borders>
  <cellStyleXfs count="1">
    <xf numFmtId="0" fontId="0" fillId="0" borderId="0"/>
  </cellStyleXfs>
  <cellXfs count="23">
    <xf numFmtId="0" fontId="0" fillId="0" borderId="0" pivotButton="0" quotePrefix="0" xfId="0"/>
    <xf numFmtId="0" fontId="1" fillId="2" borderId="0" applyAlignment="1" pivotButton="0" quotePrefix="0" xfId="0">
      <alignment horizontal="left" vertical="center"/>
    </xf>
    <xf numFmtId="0" fontId="0" fillId="2" borderId="0" pivotButton="0" quotePrefix="0" xfId="0"/>
    <xf numFmtId="0" fontId="2" fillId="3" borderId="0" applyAlignment="1" pivotButton="0" quotePrefix="0" xfId="0">
      <alignment horizontal="left" vertical="center"/>
    </xf>
    <xf numFmtId="0" fontId="0" fillId="3" borderId="0" pivotButton="0" quotePrefix="0" xfId="0"/>
    <xf numFmtId="0" fontId="3" fillId="4" borderId="1" applyAlignment="1" pivotButton="0" quotePrefix="0" xfId="0">
      <alignment horizontal="right" vertical="center"/>
    </xf>
    <xf numFmtId="0" fontId="4" fillId="5" borderId="1" applyAlignment="1" pivotButton="0" quotePrefix="0" xfId="0">
      <alignment horizontal="center" vertical="center"/>
    </xf>
    <xf numFmtId="20" fontId="4" fillId="5" borderId="1" applyAlignment="1" pivotButton="0" quotePrefix="0" xfId="0">
      <alignment horizontal="center" vertical="center"/>
    </xf>
    <xf numFmtId="0" fontId="5" fillId="6" borderId="1" applyAlignment="1" pivotButton="0" quotePrefix="0" xfId="0">
      <alignment horizontal="center" vertical="center" wrapText="1"/>
    </xf>
    <xf numFmtId="0" fontId="4" fillId="7" borderId="1" applyAlignment="1" pivotButton="0" quotePrefix="0" xfId="0">
      <alignment horizontal="center" vertical="center"/>
    </xf>
    <xf numFmtId="0" fontId="6" fillId="4" borderId="1" applyAlignment="1" pivotButton="0" quotePrefix="0" xfId="0">
      <alignment horizontal="center" vertical="center"/>
    </xf>
    <xf numFmtId="0" fontId="0" fillId="4" borderId="1" pivotButton="0" quotePrefix="0" xfId="0"/>
    <xf numFmtId="0" fontId="7" fillId="4" borderId="1" applyAlignment="1" pivotButton="0" quotePrefix="0" xfId="0">
      <alignment horizontal="left" vertical="center"/>
    </xf>
    <xf numFmtId="0" fontId="8" fillId="4" borderId="0" applyAlignment="1" pivotButton="0" quotePrefix="0" xfId="0">
      <alignment horizontal="left" vertical="center"/>
    </xf>
    <xf numFmtId="0" fontId="0" fillId="4" borderId="0" pivotButton="0" quotePrefix="0" xfId="0"/>
    <xf numFmtId="0" fontId="3" fillId="4" borderId="1" applyAlignment="1" pivotButton="0" quotePrefix="0" xfId="0">
      <alignment horizontal="center" vertical="center"/>
    </xf>
    <xf numFmtId="2" fontId="4" fillId="5" borderId="1" applyAlignment="1" pivotButton="0" quotePrefix="0" xfId="0">
      <alignment horizontal="center" vertical="center"/>
    </xf>
    <xf numFmtId="2" fontId="4" fillId="7" borderId="1" applyAlignment="1" pivotButton="0" quotePrefix="0" xfId="0">
      <alignment horizontal="center" vertical="center"/>
    </xf>
    <xf numFmtId="0" fontId="9" fillId="2" borderId="0" applyAlignment="1" pivotButton="0" quotePrefix="0" xfId="0">
      <alignment horizontal="left" vertical="center"/>
    </xf>
    <xf numFmtId="0" fontId="7" fillId="0" borderId="1" pivotButton="0" quotePrefix="0" xfId="0"/>
    <xf numFmtId="0" fontId="4" fillId="0" borderId="1" pivotButton="0" quotePrefix="0" xfId="0"/>
    <xf numFmtId="0" fontId="5" fillId="6" borderId="1" applyAlignment="1" pivotButton="0" quotePrefix="0" xfId="0">
      <alignment horizontal="center" vertical="center"/>
    </xf>
    <xf numFmtId="0" fontId="7" fillId="4" borderId="1" pivotButton="0" quotePrefix="0" xfId="0"/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worksheet" Target="/xl/worksheets/sheet16.xml" Id="rId16" /><Relationship Type="http://schemas.openxmlformats.org/officeDocument/2006/relationships/worksheet" Target="/xl/worksheets/sheet17.xml" Id="rId17" /><Relationship Type="http://schemas.openxmlformats.org/officeDocument/2006/relationships/worksheet" Target="/xl/worksheets/sheet18.xml" Id="rId18" /><Relationship Type="http://schemas.openxmlformats.org/officeDocument/2006/relationships/worksheet" Target="/xl/worksheets/sheet19.xml" Id="rId19" /><Relationship Type="http://schemas.openxmlformats.org/officeDocument/2006/relationships/worksheet" Target="/xl/worksheets/sheet20.xml" Id="rId20" /><Relationship Type="http://schemas.openxmlformats.org/officeDocument/2006/relationships/worksheet" Target="/xl/worksheets/sheet21.xml" Id="rId21" /><Relationship Type="http://schemas.openxmlformats.org/officeDocument/2006/relationships/worksheet" Target="/xl/worksheets/sheet22.xml" Id="rId22" /><Relationship Type="http://schemas.openxmlformats.org/officeDocument/2006/relationships/styles" Target="styles.xml" Id="rId23" /><Relationship Type="http://schemas.openxmlformats.org/officeDocument/2006/relationships/theme" Target="theme/theme1.xml" Id="rId24" /></Relationships>
</file>

<file path=xl/tables/table1.xml><?xml version="1.0" encoding="utf-8"?>
<table xmlns="http://schemas.openxmlformats.org/spreadsheetml/2006/main" id="1" name="tbl_NOx" displayName="tbl_NOx" ref="A1:U2" headerRowCount="1">
  <autoFilter ref="A1:U2"/>
  <tableColumns count="21">
    <tableColumn id="1" name="RecordID"/>
    <tableColumn id="2" name="TestID"/>
    <tableColumn id="3" name="EntryType"/>
    <tableColumn id="4" name="DateEntered"/>
    <tableColumn id="5" name="TimeEntered"/>
    <tableColumn id="6" name="EnteredBy"/>
    <tableColumn id="7" name="LastModifiedDate"/>
    <tableColumn id="8" name="LastModifiedTime"/>
    <tableColumn id="9" name="LastModifiedBy"/>
    <tableColumn id="10" name="Excluded"/>
    <tableColumn id="11" name="ExcludeReason"/>
    <tableColumn id="12" name="Notes"/>
    <tableColumn id="13" name="TestType"/>
    <tableColumn id="14" name="SamplePoint"/>
    <tableColumn id="15" name="Analyzer"/>
    <tableColumn id="16" name="FTIR_NO_Wet"/>
    <tableColumn id="17" name="FTIR_NO2_Wet"/>
    <tableColumn id="18" name="FTIR_H2O_Pct"/>
    <tableColumn id="19" name="NOxAn_NO_Dry"/>
    <tableColumn id="20" name="NOxAn_NO2_Dry"/>
    <tableColumn id="21" name="DryNOxUsed"/>
  </tableColumns>
  <tableStyleInfo name="TableStyleLight1" showFirstColumn="0" showLastColumn="0" showRowStripes="0" showColumnStripes="0"/>
</table>
</file>

<file path=xl/tables/table2.xml><?xml version="1.0" encoding="utf-8"?>
<table xmlns="http://schemas.openxmlformats.org/spreadsheetml/2006/main" id="2" name="tbl_NH3" displayName="tbl_NH3" ref="A1:W2" headerRowCount="1">
  <autoFilter ref="A1:W2"/>
  <tableColumns count="23">
    <tableColumn id="1" name="RecordID"/>
    <tableColumn id="2" name="TestID"/>
    <tableColumn id="3" name="EntryType"/>
    <tableColumn id="4" name="DateEntered"/>
    <tableColumn id="5" name="TimeEntered"/>
    <tableColumn id="6" name="EnteredBy"/>
    <tableColumn id="7" name="LastModifiedDate"/>
    <tableColumn id="8" name="LastModifiedTime"/>
    <tableColumn id="9" name="LastModifiedBy"/>
    <tableColumn id="10" name="Excluded"/>
    <tableColumn id="11" name="ExcludeReason"/>
    <tableColumn id="12" name="Notes"/>
    <tableColumn id="13" name="TestType"/>
    <tableColumn id="14" name="SamplePoint"/>
    <tableColumn id="15" name="Method"/>
    <tableColumn id="16" name="FTIR_NH3_Wet"/>
    <tableColumn id="17" name="FTIR_H2O_Pct"/>
    <tableColumn id="18" name="IC_Result"/>
    <tableColumn id="19" name="Dilution"/>
    <tableColumn id="20" name="MeterVol_L"/>
    <tableColumn id="21" name="MeterTemp_C"/>
    <tableColumn id="22" name="BaroP_mmHg"/>
    <tableColumn id="23" name="DryNH3"/>
  </tableColumns>
  <tableStyleInfo name="TableStyleLight1" showFirstColumn="0" showLastColumn="0" showRowStripes="0" showColumnStripes="0"/>
</table>
</file>

<file path=xl/tables/table3.xml><?xml version="1.0" encoding="utf-8"?>
<table xmlns="http://schemas.openxmlformats.org/spreadsheetml/2006/main" id="3" name="tbl_SO2" displayName="tbl_SO2" ref="A1:W2" headerRowCount="1">
  <autoFilter ref="A1:W2"/>
  <tableColumns count="23">
    <tableColumn id="1" name="RecordID"/>
    <tableColumn id="2" name="TestID"/>
    <tableColumn id="3" name="EntryType"/>
    <tableColumn id="4" name="DateEntered"/>
    <tableColumn id="5" name="TimeEntered"/>
    <tableColumn id="6" name="EnteredBy"/>
    <tableColumn id="7" name="LastModifiedDate"/>
    <tableColumn id="8" name="LastModifiedTime"/>
    <tableColumn id="9" name="LastModifiedBy"/>
    <tableColumn id="10" name="Excluded"/>
    <tableColumn id="11" name="ExcludeReason"/>
    <tableColumn id="12" name="Notes"/>
    <tableColumn id="13" name="TestType"/>
    <tableColumn id="14" name="Stage"/>
    <tableColumn id="15" name="Method"/>
    <tableColumn id="16" name="FTIR_SO2_Wet"/>
    <tableColumn id="17" name="FTIR_H2O_Pct"/>
    <tableColumn id="18" name="IC_Result"/>
    <tableColumn id="19" name="Dilution"/>
    <tableColumn id="20" name="MeterVol_L"/>
    <tableColumn id="21" name="MeterTemp_C"/>
    <tableColumn id="22" name="BaroP_mmHg"/>
    <tableColumn id="23" name="DrySO2"/>
  </tableColumns>
  <tableStyleInfo name="TableStyleLight1" showFirstColumn="0" showLastColumn="0" showRowStripes="0" showColumnStripes="0"/>
</table>
</file>

<file path=xl/tables/table4.xml><?xml version="1.0" encoding="utf-8"?>
<table xmlns="http://schemas.openxmlformats.org/spreadsheetml/2006/main" id="4" name="tbl_SO3" displayName="tbl_SO3" ref="A1:W2" headerRowCount="1">
  <autoFilter ref="A1:W2"/>
  <tableColumns count="23">
    <tableColumn id="1" name="RecordID"/>
    <tableColumn id="2" name="TestID"/>
    <tableColumn id="3" name="EntryType"/>
    <tableColumn id="4" name="DateEntered"/>
    <tableColumn id="5" name="TimeEntered"/>
    <tableColumn id="6" name="EnteredBy"/>
    <tableColumn id="7" name="LastModifiedDate"/>
    <tableColumn id="8" name="LastModifiedTime"/>
    <tableColumn id="9" name="LastModifiedBy"/>
    <tableColumn id="10" name="Excluded"/>
    <tableColumn id="11" name="ExcludeReason"/>
    <tableColumn id="12" name="Notes"/>
    <tableColumn id="13" name="TestType"/>
    <tableColumn id="14" name="SamplePoint"/>
    <tableColumn id="15" name="PullVol_L"/>
    <tableColumn id="16" name="IC_Result"/>
    <tableColumn id="17" name="Dilution"/>
    <tableColumn id="18" name="MeterTemp_C"/>
    <tableColumn id="19" name="RoomP_mmHg"/>
    <tableColumn id="20" name="CorrectedGasVol"/>
    <tableColumn id="21" name="DryMoles"/>
    <tableColumn id="22" name="SO3Moles"/>
    <tableColumn id="23" name="DrySO3"/>
  </tableColumns>
  <tableStyleInfo name="TableStyleLight1" showFirstColumn="0" showLastColumn="0" showRowStripes="0" showColumnStripes="0"/>
</table>
</file>

<file path=xl/tables/table5.xml><?xml version="1.0" encoding="utf-8"?>
<table xmlns="http://schemas.openxmlformats.org/spreadsheetml/2006/main" id="5" name="tbl_Temperature" displayName="tbl_Temperature" ref="A1:O2" headerRowCount="1">
  <autoFilter ref="A1:O2"/>
  <tableColumns count="15">
    <tableColumn id="1" name="RecordID"/>
    <tableColumn id="2" name="TestID"/>
    <tableColumn id="3" name="EntryType"/>
    <tableColumn id="4" name="DateEntered"/>
    <tableColumn id="5" name="TimeEntered"/>
    <tableColumn id="6" name="EnteredBy"/>
    <tableColumn id="7" name="LastModifiedDate"/>
    <tableColumn id="8" name="LastModifiedTime"/>
    <tableColumn id="9" name="LastModifiedBy"/>
    <tableColumn id="10" name="Excluded"/>
    <tableColumn id="11" name="ExcludeReason"/>
    <tableColumn id="12" name="Notes"/>
    <tableColumn id="13" name="TestType"/>
    <tableColumn id="14" name="Context"/>
    <tableColumn id="15" name="Value_C"/>
  </tableColumns>
  <tableStyleInfo name="TableStyleLight1" showFirstColumn="0" showLastColumn="0" showRowStripes="0" showColumnStripes="0"/>
</table>
</file>

<file path=xl/tables/table6.xml><?xml version="1.0" encoding="utf-8"?>
<table xmlns="http://schemas.openxmlformats.org/spreadsheetml/2006/main" id="6" name="tbl_Flow" displayName="tbl_Flow" ref="A1:O2" headerRowCount="1">
  <autoFilter ref="A1:O2"/>
  <tableColumns count="15">
    <tableColumn id="1" name="RecordID"/>
    <tableColumn id="2" name="TestID"/>
    <tableColumn id="3" name="EntryType"/>
    <tableColumn id="4" name="DateEntered"/>
    <tableColumn id="5" name="TimeEntered"/>
    <tableColumn id="6" name="EnteredBy"/>
    <tableColumn id="7" name="LastModifiedDate"/>
    <tableColumn id="8" name="LastModifiedTime"/>
    <tableColumn id="9" name="LastModifiedBy"/>
    <tableColumn id="10" name="Excluded"/>
    <tableColumn id="11" name="ExcludeReason"/>
    <tableColumn id="12" name="Notes"/>
    <tableColumn id="13" name="TestType"/>
    <tableColumn id="14" name="Context"/>
    <tableColumn id="15" name="Value_scfm"/>
  </tableColumns>
  <tableStyleInfo name="TableStyleLight1" showFirstColumn="0" showLastColumn="0" showRowStripes="0" showColumnStripes="0"/>
</table>
</file>

<file path=xl/tables/table7.xml><?xml version="1.0" encoding="utf-8"?>
<table xmlns="http://schemas.openxmlformats.org/spreadsheetml/2006/main" id="7" name="tbl_O2" displayName="tbl_O2" ref="A1:O2" headerRowCount="1">
  <autoFilter ref="A1:O2"/>
  <tableColumns count="15">
    <tableColumn id="1" name="RecordID"/>
    <tableColumn id="2" name="TestID"/>
    <tableColumn id="3" name="EntryType"/>
    <tableColumn id="4" name="DateEntered"/>
    <tableColumn id="5" name="TimeEntered"/>
    <tableColumn id="6" name="EnteredBy"/>
    <tableColumn id="7" name="LastModifiedDate"/>
    <tableColumn id="8" name="LastModifiedTime"/>
    <tableColumn id="9" name="LastModifiedBy"/>
    <tableColumn id="10" name="Excluded"/>
    <tableColumn id="11" name="ExcludeReason"/>
    <tableColumn id="12" name="Notes"/>
    <tableColumn id="13" name="TestType"/>
    <tableColumn id="14" name="Context"/>
    <tableColumn id="15" name="Value_Pct"/>
  </tableColumns>
  <tableStyleInfo name="TableStyleLight1" showFirstColumn="0" showLastColumn="0" showRowStripes="0" showColumnStripes="0"/>
</table>
</file>

<file path=xl/tables/table8.xml><?xml version="1.0" encoding="utf-8"?>
<table xmlns="http://schemas.openxmlformats.org/spreadsheetml/2006/main" id="8" name="tbl_DP" displayName="tbl_DP" ref="A1:U2" headerRowCount="1">
  <autoFilter ref="A1:U2"/>
  <tableColumns count="21">
    <tableColumn id="1" name="RecordID"/>
    <tableColumn id="2" name="TestID"/>
    <tableColumn id="3" name="EntryType"/>
    <tableColumn id="4" name="DateEntered"/>
    <tableColumn id="5" name="TimeEntered"/>
    <tableColumn id="6" name="EnteredBy"/>
    <tableColumn id="7" name="LastModifiedDate"/>
    <tableColumn id="8" name="LastModifiedTime"/>
    <tableColumn id="9" name="LastModifiedBy"/>
    <tableColumn id="10" name="Excluded"/>
    <tableColumn id="11" name="ExcludeReason"/>
    <tableColumn id="12" name="Notes"/>
    <tableColumn id="13" name="TestType"/>
    <tableColumn id="14" name="DP_S2"/>
    <tableColumn id="15" name="DP_S3"/>
    <tableColumn id="16" name="DP_S4"/>
    <tableColumn id="17" name="DP_S5"/>
    <tableColumn id="18" name="DPTotal"/>
    <tableColumn id="19" name="TheoryDP"/>
    <tableColumn id="20" name="PctTheory"/>
    <tableColumn id="21" name="Status"/>
  </tableColumns>
  <tableStyleInfo name="TableStyleLight1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0.xml.rels><Relationships xmlns="http://schemas.openxmlformats.org/package/2006/relationships"><Relationship Type="http://schemas.openxmlformats.org/officeDocument/2006/relationships/table" Target="/xl/tables/table1.xml" Id="rId1" /></Relationships>
</file>

<file path=xl/worksheets/_rels/sheet11.xml.rels><Relationships xmlns="http://schemas.openxmlformats.org/package/2006/relationships"><Relationship Type="http://schemas.openxmlformats.org/officeDocument/2006/relationships/table" Target="/xl/tables/table2.xml" Id="rId1" /></Relationships>
</file>

<file path=xl/worksheets/_rels/sheet12.xml.rels><Relationships xmlns="http://schemas.openxmlformats.org/package/2006/relationships"><Relationship Type="http://schemas.openxmlformats.org/officeDocument/2006/relationships/table" Target="/xl/tables/table3.xml" Id="rId1" /></Relationships>
</file>

<file path=xl/worksheets/_rels/sheet13.xml.rels><Relationships xmlns="http://schemas.openxmlformats.org/package/2006/relationships"><Relationship Type="http://schemas.openxmlformats.org/officeDocument/2006/relationships/table" Target="/xl/tables/table4.xml" Id="rId1" /></Relationships>
</file>

<file path=xl/worksheets/_rels/sheet14.xml.rels><Relationships xmlns="http://schemas.openxmlformats.org/package/2006/relationships"><Relationship Type="http://schemas.openxmlformats.org/officeDocument/2006/relationships/table" Target="/xl/tables/table5.xml" Id="rId1" /></Relationships>
</file>

<file path=xl/worksheets/_rels/sheet15.xml.rels><Relationships xmlns="http://schemas.openxmlformats.org/package/2006/relationships"><Relationship Type="http://schemas.openxmlformats.org/officeDocument/2006/relationships/table" Target="/xl/tables/table6.xml" Id="rId1" /></Relationships>
</file>

<file path=xl/worksheets/_rels/sheet16.xml.rels><Relationships xmlns="http://schemas.openxmlformats.org/package/2006/relationships"><Relationship Type="http://schemas.openxmlformats.org/officeDocument/2006/relationships/table" Target="/xl/tables/table7.xml" Id="rId1" /></Relationships>
</file>

<file path=xl/worksheets/_rels/sheet17.xml.rels><Relationships xmlns="http://schemas.openxmlformats.org/package/2006/relationships"><Relationship Type="http://schemas.openxmlformats.org/officeDocument/2006/relationships/table" Target="/xl/tables/table8.xml" Id="rId1" /></Relationships>
</file>

<file path=xl/worksheets/sheet1.xml><?xml version="1.0" encoding="utf-8"?>
<worksheet xmlns="http://schemas.openxmlformats.org/spreadsheetml/2006/main">
  <sheetPr>
    <tabColor rgb="000E1638"/>
    <outlinePr summaryBelow="1" summaryRight="1"/>
    <pageSetUpPr/>
  </sheetPr>
  <dimension ref="B1:D46"/>
  <sheetViews>
    <sheetView showGridLines="0" workbookViewId="0">
      <pane xSplit="1" ySplit="1" topLeftCell="B2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2" customWidth="1" min="1" max="1"/>
    <col width="22" customWidth="1" min="2" max="2"/>
    <col width="18" customWidth="1" min="3" max="3"/>
    <col width="18" customWidth="1" min="4" max="4"/>
    <col width="18" customWidth="1" min="5" max="5"/>
  </cols>
  <sheetData>
    <row r="1" ht="30" customHeight="1">
      <c r="B1" s="1" t="inlineStr">
        <is>
          <t>SCR Catalyst Test Report</t>
        </is>
      </c>
      <c r="C1" s="2" t="n"/>
      <c r="D1" s="2" t="n"/>
    </row>
    <row r="3" ht="24" customHeight="1">
      <c r="B3" s="3" t="inlineStr">
        <is>
          <t>Test Identity</t>
        </is>
      </c>
      <c r="C3" s="4" t="n"/>
      <c r="D3" s="4" t="n"/>
    </row>
    <row r="4" ht="16" customHeight="1">
      <c r="B4" s="5" t="inlineStr">
        <is>
          <t>LRF #</t>
        </is>
      </c>
      <c r="C4" s="6" t="n"/>
    </row>
    <row r="5" ht="16" customHeight="1">
      <c r="B5" s="5" t="inlineStr">
        <is>
          <t>Load ID</t>
        </is>
      </c>
      <c r="C5" s="6" t="n"/>
    </row>
    <row r="6" ht="16" customHeight="1">
      <c r="B6" s="5" t="inlineStr">
        <is>
          <t>Project Name</t>
        </is>
      </c>
      <c r="C6" s="6" t="n"/>
    </row>
    <row r="7" ht="16" customHeight="1">
      <c r="B7" s="5" t="inlineStr">
        <is>
          <t>Date</t>
        </is>
      </c>
      <c r="C7" s="6" t="n"/>
    </row>
    <row r="8" ht="16" customHeight="1">
      <c r="B8" s="5" t="inlineStr">
        <is>
          <t>Sample Type</t>
        </is>
      </c>
      <c r="C8" s="6" t="n"/>
    </row>
    <row r="9" ht="16" customHeight="1">
      <c r="B9" s="5" t="inlineStr">
        <is>
          <t>Active Technician</t>
        </is>
      </c>
      <c r="C9" s="6" t="n"/>
    </row>
    <row r="10" ht="16" customHeight="1">
      <c r="B10" s="5" t="inlineStr">
        <is>
          <t>SO₂ Gas On</t>
        </is>
      </c>
      <c r="C10" s="7" t="n"/>
    </row>
    <row r="11" ht="16" customHeight="1">
      <c r="B11" s="5" t="inlineStr">
        <is>
          <t>NH₃ Gas On</t>
        </is>
      </c>
      <c r="C11" s="7" t="n"/>
    </row>
    <row r="13" ht="24" customHeight="1">
      <c r="B13" s="3" t="inlineStr">
        <is>
          <t>Test Conditions</t>
        </is>
      </c>
      <c r="C13" s="4" t="n"/>
      <c r="D13" s="4" t="n"/>
    </row>
    <row r="14" ht="20" customHeight="1">
      <c r="B14" s="8" t="inlineStr">
        <is>
          <t>Variable</t>
        </is>
      </c>
      <c r="C14" s="8" t="inlineStr">
        <is>
          <t>Activity</t>
        </is>
      </c>
      <c r="D14" s="8" t="inlineStr">
        <is>
          <t>Conversion</t>
        </is>
      </c>
    </row>
    <row r="15" ht="16" customHeight="1">
      <c r="B15" s="5" t="inlineStr">
        <is>
          <t>AV</t>
        </is>
      </c>
      <c r="C15" s="6" t="n"/>
      <c r="D15" s="6" t="n"/>
    </row>
    <row r="16" ht="16" customHeight="1">
      <c r="B16" s="5" t="inlineStr">
        <is>
          <t>UGS</t>
        </is>
      </c>
      <c r="C16" s="6" t="n"/>
      <c r="D16" s="6" t="n"/>
    </row>
    <row r="17" ht="16" customHeight="1">
      <c r="B17" s="5" t="inlineStr">
        <is>
          <t>Temperature (°C)</t>
        </is>
      </c>
      <c r="C17" s="6" t="n"/>
      <c r="D17" s="6" t="n"/>
    </row>
    <row r="18" ht="16" customHeight="1">
      <c r="B18" s="5" t="inlineStr">
        <is>
          <t>H₂O (%)</t>
        </is>
      </c>
      <c r="C18" s="6" t="n"/>
      <c r="D18" s="6" t="n"/>
    </row>
    <row r="19" ht="16" customHeight="1">
      <c r="B19" s="5" t="inlineStr">
        <is>
          <t>O₂ (%)</t>
        </is>
      </c>
      <c r="C19" s="6" t="n"/>
      <c r="D19" s="6" t="n"/>
    </row>
    <row r="20" ht="16" customHeight="1">
      <c r="B20" s="5" t="inlineStr">
        <is>
          <t>SO₂ (ppmvd)</t>
        </is>
      </c>
      <c r="C20" s="6" t="n"/>
      <c r="D20" s="6" t="n"/>
    </row>
    <row r="21" ht="16" customHeight="1">
      <c r="B21" s="5" t="inlineStr">
        <is>
          <t>SO₃ (ppmvd)</t>
        </is>
      </c>
      <c r="C21" s="6" t="n"/>
      <c r="D21" s="6" t="n"/>
    </row>
    <row r="22" ht="16" customHeight="1">
      <c r="B22" s="5" t="inlineStr">
        <is>
          <t>NOx (ppmvd)</t>
        </is>
      </c>
      <c r="C22" s="6" t="n"/>
      <c r="D22" s="6" t="n"/>
    </row>
    <row r="23" ht="16" customHeight="1">
      <c r="B23" s="5" t="inlineStr">
        <is>
          <t>MR</t>
        </is>
      </c>
      <c r="C23" s="6" t="n"/>
      <c r="D23" s="6" t="n"/>
    </row>
    <row r="24" ht="16" customHeight="1">
      <c r="B24" s="5" t="inlineStr">
        <is>
          <t>Flow Source / Status</t>
        </is>
      </c>
      <c r="C24" s="9">
        <f>GC_Flow_Act_Status</f>
        <v/>
      </c>
      <c r="D24" s="9">
        <f>GC_Flow_Conv_Status</f>
        <v/>
      </c>
    </row>
    <row r="25" ht="16" customHeight="1">
      <c r="B25" s="5" t="inlineStr">
        <is>
          <t>Flow (Nm³/h)</t>
        </is>
      </c>
      <c r="C25" s="9">
        <f>GC_Flow_Act_Nm3h</f>
        <v/>
      </c>
      <c r="D25" s="9">
        <f>GC_Flow_Conv_Nm3h</f>
        <v/>
      </c>
    </row>
    <row r="28" ht="24" customHeight="1">
      <c r="B28" s="3" t="inlineStr">
        <is>
          <t>Workflow</t>
        </is>
      </c>
      <c r="C28" s="4" t="n"/>
      <c r="D28" s="4" t="n"/>
    </row>
    <row r="29" ht="16" customHeight="1">
      <c r="B29" s="10" t="inlineStr">
        <is>
          <t>[ Set Up Geometry ]</t>
        </is>
      </c>
      <c r="C29" s="11" t="n"/>
      <c r="D29" s="11" t="n"/>
    </row>
    <row r="30" ht="16" customHeight="1">
      <c r="B30" s="10" t="inlineStr">
        <is>
          <t>[ Open Setup Summary ]</t>
        </is>
      </c>
      <c r="C30" s="11" t="n"/>
      <c r="D30" s="11" t="n"/>
    </row>
    <row r="31" ht="16" customHeight="1">
      <c r="B31" s="10" t="inlineStr">
        <is>
          <t>[ Verify Setup ]</t>
        </is>
      </c>
      <c r="C31" s="11" t="n"/>
      <c r="D31" s="11" t="n"/>
    </row>
    <row r="32" ht="16" customHeight="1">
      <c r="B32" s="10" t="inlineStr">
        <is>
          <t>[ Begin Test ]</t>
        </is>
      </c>
      <c r="C32" s="11" t="n"/>
      <c r="D32" s="11" t="n"/>
    </row>
    <row r="33" ht="16" customHeight="1">
      <c r="B33" s="10" t="inlineStr">
        <is>
          <t>[ New Test ]</t>
        </is>
      </c>
      <c r="C33" s="11" t="n"/>
      <c r="D33" s="11" t="n"/>
    </row>
    <row r="36" ht="24" customHeight="1">
      <c r="B36" s="3" t="inlineStr">
        <is>
          <t>Readiness Status</t>
        </is>
      </c>
      <c r="C36" s="4" t="n"/>
    </row>
    <row r="37" ht="16" customHeight="1">
      <c r="B37" s="5" t="inlineStr">
        <is>
          <t>Sample type selected</t>
        </is>
      </c>
      <c r="C37" s="9" t="inlineStr">
        <is>
          <t>—</t>
        </is>
      </c>
    </row>
    <row r="38" ht="16" customHeight="1">
      <c r="B38" s="5" t="inlineStr">
        <is>
          <t>Geometry entered</t>
        </is>
      </c>
      <c r="C38" s="9" t="inlineStr">
        <is>
          <t>—</t>
        </is>
      </c>
    </row>
    <row r="39" ht="16" customHeight="1">
      <c r="B39" s="5" t="inlineStr">
        <is>
          <t>Geometry resolved</t>
        </is>
      </c>
      <c r="C39" s="9" t="inlineStr">
        <is>
          <t>—</t>
        </is>
      </c>
    </row>
    <row r="40" ht="16" customHeight="1">
      <c r="B40" s="5" t="inlineStr">
        <is>
          <t>Flow resolved</t>
        </is>
      </c>
      <c r="C40" s="9" t="inlineStr">
        <is>
          <t>—</t>
        </is>
      </c>
    </row>
    <row r="41" ht="16" customHeight="1">
      <c r="B41" s="5" t="inlineStr">
        <is>
          <t>Primary verification complete</t>
        </is>
      </c>
      <c r="C41" s="9" t="inlineStr">
        <is>
          <t>—</t>
        </is>
      </c>
    </row>
    <row r="42" ht="16" customHeight="1">
      <c r="B42" s="5" t="inlineStr">
        <is>
          <t>Secondary verification complete</t>
        </is>
      </c>
      <c r="C42" s="9" t="inlineStr">
        <is>
          <t>—</t>
        </is>
      </c>
    </row>
    <row r="43" ht="16" customHeight="1">
      <c r="B43" s="5" t="inlineStr">
        <is>
          <t>Ready to begin test</t>
        </is>
      </c>
      <c r="C43" s="9" t="inlineStr">
        <is>
          <t>—</t>
        </is>
      </c>
    </row>
    <row r="44" ht="16" customHeight="1">
      <c r="B44" s="5" t="inlineStr">
        <is>
          <t>Activity data present</t>
        </is>
      </c>
      <c r="C44" s="9" t="inlineStr">
        <is>
          <t>—</t>
        </is>
      </c>
    </row>
    <row r="45" ht="16" customHeight="1">
      <c r="B45" s="5" t="inlineStr">
        <is>
          <t>Conversion data present</t>
        </is>
      </c>
      <c r="C45" s="9" t="inlineStr">
        <is>
          <t>—</t>
        </is>
      </c>
    </row>
    <row r="46" ht="16" customHeight="1">
      <c r="B46" s="5" t="inlineStr">
        <is>
          <t>DP data present</t>
        </is>
      </c>
      <c r="C46" s="9" t="inlineStr">
        <is>
          <t>—</t>
        </is>
      </c>
    </row>
  </sheetData>
  <mergeCells count="10">
    <mergeCell ref="B33:D33"/>
    <mergeCell ref="B28:D28"/>
    <mergeCell ref="B3:D3"/>
    <mergeCell ref="B31:D31"/>
    <mergeCell ref="B1:D1"/>
    <mergeCell ref="B32:D32"/>
    <mergeCell ref="B13:D13"/>
    <mergeCell ref="B36:C36"/>
    <mergeCell ref="B30:D30"/>
    <mergeCell ref="B29:D29"/>
  </mergeCells>
  <dataValidations count="2">
    <dataValidation sqref="C8" showDropDown="0" showInputMessage="0" showErrorMessage="0" allowBlank="1" type="list">
      <formula1>=List_SampleType</formula1>
    </dataValidation>
    <dataValidation sqref="C9" showDropDown="0" showInputMessage="0" showErrorMessage="0" allowBlank="1" type="list">
      <formula1>=List_Technicians</formula1>
    </dataValidation>
  </dataValidations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B1:D17"/>
  <sheetViews>
    <sheetView showGridLines="0" workbookViewId="0">
      <pane xSplit="1" ySplit="3" topLeftCell="B4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2" customWidth="1" min="1" max="1"/>
    <col width="30" customWidth="1" min="2" max="2"/>
    <col width="15" customWidth="1" min="3" max="3"/>
    <col width="40" customWidth="1" min="4" max="4"/>
  </cols>
  <sheetData>
    <row r="1" ht="24" customHeight="1">
      <c r="B1" s="1" t="inlineStr">
        <is>
          <t>Specifications &amp; Thresholds</t>
        </is>
      </c>
      <c r="C1" s="2" t="n"/>
      <c r="D1" s="2" t="n"/>
    </row>
    <row r="3" ht="20" customHeight="1">
      <c r="B3" s="8" t="inlineStr">
        <is>
          <t>Parameter</t>
        </is>
      </c>
      <c r="C3" s="8" t="inlineStr">
        <is>
          <t>Value</t>
        </is>
      </c>
      <c r="D3" s="8" t="inlineStr">
        <is>
          <t>Description</t>
        </is>
      </c>
    </row>
    <row r="4" ht="16" customHeight="1">
      <c r="B4" s="5" t="inlineStr">
        <is>
          <t>Spec_Temp_Tolerance_C</t>
        </is>
      </c>
      <c r="C4" s="6" t="n">
        <v>5</v>
      </c>
      <c r="D4" s="12" t="inlineStr">
        <is>
          <t>Temperature tolerance (±°C)</t>
        </is>
      </c>
    </row>
    <row r="5" ht="16" customHeight="1">
      <c r="B5" s="5" t="inlineStr">
        <is>
          <t>Spec_Flow_Tolerance_Pct</t>
        </is>
      </c>
      <c r="C5" s="6" t="n">
        <v>5</v>
      </c>
      <c r="D5" s="12" t="inlineStr">
        <is>
          <t>Flow tolerance (±%)</t>
        </is>
      </c>
    </row>
    <row r="6" ht="16" customHeight="1">
      <c r="B6" s="5" t="inlineStr">
        <is>
          <t>Spec_O2_Tolerance_Pct</t>
        </is>
      </c>
      <c r="C6" s="6" t="n">
        <v>0.5</v>
      </c>
      <c r="D6" s="12" t="inlineStr">
        <is>
          <t>O₂ tolerance (±%)</t>
        </is>
      </c>
    </row>
    <row r="7" ht="16" customHeight="1">
      <c r="B7" s="5" t="inlineStr">
        <is>
          <t>Spec_NOx_Tolerance_Pct</t>
        </is>
      </c>
      <c r="C7" s="6" t="n">
        <v>5</v>
      </c>
      <c r="D7" s="12" t="inlineStr">
        <is>
          <t>NOx tolerance (±%)</t>
        </is>
      </c>
    </row>
    <row r="8" ht="16" customHeight="1">
      <c r="B8" s="5" t="inlineStr">
        <is>
          <t>Spec_SO2_Tolerance_Pct</t>
        </is>
      </c>
      <c r="C8" s="6" t="n">
        <v>10</v>
      </c>
      <c r="D8" s="12" t="inlineStr">
        <is>
          <t>SO₂ tolerance (±%)</t>
        </is>
      </c>
    </row>
    <row r="9" ht="16" customHeight="1">
      <c r="B9" s="5" t="inlineStr">
        <is>
          <t>Spec_NH3_Tolerance_Pct</t>
        </is>
      </c>
      <c r="C9" s="6" t="n">
        <v>10</v>
      </c>
      <c r="D9" s="12" t="inlineStr">
        <is>
          <t>NH₃ tolerance (±%)</t>
        </is>
      </c>
    </row>
    <row r="10" ht="16" customHeight="1">
      <c r="B10" s="5" t="inlineStr">
        <is>
          <t>Spec_MR_Tolerance</t>
        </is>
      </c>
      <c r="C10" s="6" t="n">
        <v>0.02</v>
      </c>
      <c r="D10" s="12" t="inlineStr">
        <is>
          <t>MR tolerance (±)</t>
        </is>
      </c>
    </row>
    <row r="11" ht="16" customHeight="1">
      <c r="B11" s="5" t="inlineStr">
        <is>
          <t>Spec_SS_MinPoints</t>
        </is>
      </c>
      <c r="C11" s="6" t="n">
        <v>4</v>
      </c>
      <c r="D11" s="12" t="inlineStr">
        <is>
          <t>Steady-state min points</t>
        </is>
      </c>
    </row>
    <row r="12" ht="16" customHeight="1">
      <c r="B12" s="5" t="inlineStr">
        <is>
          <t>Spec_SS_K_StdDev_Max</t>
        </is>
      </c>
      <c r="C12" s="6" t="n">
        <v>0.05</v>
      </c>
      <c r="D12" s="12" t="inlineStr">
        <is>
          <t>K StdDev threshold for steady-state</t>
        </is>
      </c>
    </row>
    <row r="13" ht="16" customHeight="1">
      <c r="B13" s="5" t="inlineStr">
        <is>
          <t>Spec_SS_NormSlope_Max</t>
        </is>
      </c>
      <c r="C13" s="6" t="n">
        <v>0.02</v>
      </c>
      <c r="D13" s="12" t="inlineStr">
        <is>
          <t>Normalized slope threshold</t>
        </is>
      </c>
    </row>
    <row r="14" ht="16" customHeight="1">
      <c r="B14" s="5" t="inlineStr">
        <is>
          <t>Spec_SS_Conv_StdDev_Max</t>
        </is>
      </c>
      <c r="C14" s="6" t="n">
        <v>2</v>
      </c>
      <c r="D14" s="12" t="inlineStr">
        <is>
          <t>Conversion StdDev threshold (%)</t>
        </is>
      </c>
    </row>
    <row r="15" ht="16" customHeight="1">
      <c r="B15" s="5" t="inlineStr">
        <is>
          <t>Spec_SS_Conv_NormSlope_Max</t>
        </is>
      </c>
      <c r="C15" s="6" t="n">
        <v>0.02</v>
      </c>
      <c r="D15" s="12" t="inlineStr">
        <is>
          <t>Conversion normalized slope threshold</t>
        </is>
      </c>
    </row>
    <row r="16" ht="16" customHeight="1">
      <c r="B16" s="5" t="inlineStr">
        <is>
          <t>Spec_DP_PctTheory_Warning</t>
        </is>
      </c>
      <c r="C16" s="6" t="n">
        <v>120</v>
      </c>
      <c r="D16" s="12" t="inlineStr">
        <is>
          <t>DP % Theory warning threshold</t>
        </is>
      </c>
    </row>
    <row r="17" ht="16" customHeight="1">
      <c r="B17" s="5" t="inlineStr">
        <is>
          <t>Spec_DP_PctTheory_Fail</t>
        </is>
      </c>
      <c r="C17" s="6" t="n">
        <v>150</v>
      </c>
      <c r="D17" s="12" t="inlineStr">
        <is>
          <t>DP % Theory fail threshold</t>
        </is>
      </c>
    </row>
  </sheetData>
  <mergeCells count="1">
    <mergeCell ref="B1:D1"/>
  </mergeCells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B1:K20"/>
  <sheetViews>
    <sheetView showGridLines="0" workbookViewId="0">
      <pane xSplit="1" ySplit="4" topLeftCell="B5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2" customWidth="1" min="1" max="1"/>
    <col width="14" customWidth="1" min="2" max="2"/>
    <col width="12" customWidth="1" min="3" max="3"/>
    <col width="12" customWidth="1" min="4" max="4"/>
    <col width="12" customWidth="1" min="5" max="5"/>
    <col width="12" customWidth="1" min="6" max="6"/>
    <col width="12" customWidth="1" min="7" max="7"/>
    <col width="12" customWidth="1" min="8" max="8"/>
    <col width="12" customWidth="1" min="9" max="9"/>
    <col width="14" customWidth="1" min="10" max="10"/>
    <col width="14" customWidth="1" min="11" max="11"/>
  </cols>
  <sheetData>
    <row r="1" ht="24" customHeight="1">
      <c r="B1" s="1" t="inlineStr">
        <is>
          <t>Honeycomb Geometry</t>
        </is>
      </c>
      <c r="C1" s="2" t="n"/>
      <c r="D1" s="2" t="n"/>
      <c r="E1" s="2" t="n"/>
      <c r="F1" s="2" t="n"/>
      <c r="G1" s="2" t="n"/>
      <c r="H1" s="2" t="n"/>
      <c r="I1" s="2" t="n"/>
      <c r="J1" s="2" t="n"/>
      <c r="K1" s="2" t="n"/>
    </row>
    <row r="2">
      <c r="B2" s="13" t="inlineStr">
        <is>
          <t>Enter measurements for each active layer</t>
        </is>
      </c>
      <c r="C2" s="14" t="n"/>
      <c r="D2" s="14" t="n"/>
      <c r="E2" s="14" t="n"/>
      <c r="F2" s="14" t="n"/>
      <c r="G2" s="14" t="n"/>
      <c r="H2" s="14" t="n"/>
      <c r="I2" s="14" t="n"/>
      <c r="J2" s="14" t="n"/>
      <c r="K2" s="14" t="n"/>
    </row>
    <row r="4" ht="24" customHeight="1">
      <c r="B4" s="8" t="inlineStr">
        <is>
          <t>Layer</t>
        </is>
      </c>
      <c r="C4" s="8" t="inlineStr">
        <is>
          <t>Product Type</t>
        </is>
      </c>
      <c r="D4" s="8" t="inlineStr">
        <is>
          <t>AP Override</t>
        </is>
      </c>
      <c r="E4" s="8" t="inlineStr">
        <is>
          <t>Length (mm)</t>
        </is>
      </c>
      <c r="F4" s="8" t="inlineStr">
        <is>
          <t>Cells A</t>
        </is>
      </c>
      <c r="G4" s="8" t="inlineStr">
        <is>
          <t>Cells B</t>
        </is>
      </c>
      <c r="H4" s="8" t="inlineStr">
        <is>
          <t>Width A (mm)</t>
        </is>
      </c>
      <c r="I4" s="8" t="inlineStr">
        <is>
          <t>Width B (mm)</t>
        </is>
      </c>
      <c r="J4" s="8" t="inlineStr">
        <is>
          <t>Plugged Cells</t>
        </is>
      </c>
      <c r="K4" s="8" t="inlineStr">
        <is>
          <t>Status</t>
        </is>
      </c>
    </row>
    <row r="5" ht="16" customHeight="1">
      <c r="B5" s="15" t="n">
        <v>1</v>
      </c>
      <c r="C5" s="6" t="n"/>
      <c r="D5" s="6" t="n"/>
      <c r="E5" s="6" t="n"/>
      <c r="F5" s="6" t="n"/>
      <c r="G5" s="6" t="n"/>
      <c r="H5" s="6" t="n"/>
      <c r="I5" s="6" t="n"/>
      <c r="J5" s="6" t="n"/>
      <c r="K5" s="9" t="n"/>
    </row>
    <row r="6" ht="16" customHeight="1">
      <c r="B6" s="15" t="n">
        <v>2</v>
      </c>
      <c r="C6" s="6" t="n"/>
      <c r="D6" s="6" t="n"/>
      <c r="E6" s="6" t="n"/>
      <c r="F6" s="6" t="n"/>
      <c r="G6" s="6" t="n"/>
      <c r="H6" s="6" t="n"/>
      <c r="I6" s="6" t="n"/>
      <c r="J6" s="6" t="n"/>
      <c r="K6" s="9" t="n"/>
    </row>
    <row r="7" ht="16" customHeight="1">
      <c r="B7" s="15" t="n">
        <v>3</v>
      </c>
      <c r="C7" s="6" t="n"/>
      <c r="D7" s="6" t="n"/>
      <c r="E7" s="6" t="n"/>
      <c r="F7" s="6" t="n"/>
      <c r="G7" s="6" t="n"/>
      <c r="H7" s="6" t="n"/>
      <c r="I7" s="6" t="n"/>
      <c r="J7" s="6" t="n"/>
      <c r="K7" s="9" t="n"/>
    </row>
    <row r="8" ht="16" customHeight="1">
      <c r="B8" s="15" t="n">
        <v>4</v>
      </c>
      <c r="C8" s="6" t="n"/>
      <c r="D8" s="6" t="n"/>
      <c r="E8" s="6" t="n"/>
      <c r="F8" s="6" t="n"/>
      <c r="G8" s="6" t="n"/>
      <c r="H8" s="6" t="n"/>
      <c r="I8" s="6" t="n"/>
      <c r="J8" s="6" t="n"/>
      <c r="K8" s="9" t="n"/>
    </row>
    <row r="9" ht="16" customHeight="1">
      <c r="B9" s="15" t="n">
        <v>5</v>
      </c>
      <c r="C9" s="6" t="n"/>
      <c r="D9" s="6" t="n"/>
      <c r="E9" s="6" t="n"/>
      <c r="F9" s="6" t="n"/>
      <c r="G9" s="6" t="n"/>
      <c r="H9" s="6" t="n"/>
      <c r="I9" s="6" t="n"/>
      <c r="J9" s="6" t="n"/>
      <c r="K9" s="9" t="n"/>
    </row>
    <row r="10" ht="16" customHeight="1">
      <c r="B10" s="15" t="n">
        <v>6</v>
      </c>
      <c r="C10" s="6" t="n"/>
      <c r="D10" s="6" t="n"/>
      <c r="E10" s="6" t="n"/>
      <c r="F10" s="6" t="n"/>
      <c r="G10" s="6" t="n"/>
      <c r="H10" s="6" t="n"/>
      <c r="I10" s="6" t="n"/>
      <c r="J10" s="6" t="n"/>
      <c r="K10" s="9" t="n"/>
    </row>
    <row r="13" ht="24" customHeight="1">
      <c r="B13" s="3" t="inlineStr">
        <is>
          <t>Resolved Outputs (read-only)</t>
        </is>
      </c>
      <c r="C13" s="4" t="n"/>
      <c r="D13" s="4" t="n"/>
      <c r="E13" s="4" t="n"/>
    </row>
    <row r="14" ht="16" customHeight="1">
      <c r="B14" s="5" t="inlineStr">
        <is>
          <t>Total Active Layers</t>
        </is>
      </c>
      <c r="C14" s="11" t="n"/>
      <c r="D14" s="9" t="n"/>
    </row>
    <row r="15" ht="16" customHeight="1">
      <c r="B15" s="5" t="inlineStr">
        <is>
          <t>Avg Adjusted FFA (m²)</t>
        </is>
      </c>
      <c r="C15" s="11" t="n"/>
      <c r="D15" s="9" t="n"/>
    </row>
    <row r="16" ht="16" customHeight="1">
      <c r="B16" s="5" t="inlineStr">
        <is>
          <t>Total Adjusted Area (m²)</t>
        </is>
      </c>
      <c r="C16" s="11" t="n"/>
      <c r="D16" s="9" t="n"/>
    </row>
    <row r="17" ht="16" customHeight="1">
      <c r="B17" s="5" t="inlineStr">
        <is>
          <t>Pitch (mm)</t>
        </is>
      </c>
      <c r="C17" s="11" t="n"/>
      <c r="D17" s="9" t="n"/>
    </row>
    <row r="18" ht="16" customHeight="1">
      <c r="B18" s="5" t="inlineStr">
        <is>
          <t>Hydraulic Diameter (mm)</t>
        </is>
      </c>
      <c r="C18" s="11" t="n"/>
      <c r="D18" s="9" t="n"/>
    </row>
    <row r="20">
      <c r="B20" s="10" t="inlineStr">
        <is>
          <t>[ Back to Home ]</t>
        </is>
      </c>
      <c r="C20" s="11" t="n"/>
      <c r="D20" s="11" t="n"/>
    </row>
  </sheetData>
  <mergeCells count="9">
    <mergeCell ref="B16:C16"/>
    <mergeCell ref="B1:K1"/>
    <mergeCell ref="B15:C15"/>
    <mergeCell ref="B13:E13"/>
    <mergeCell ref="B14:C14"/>
    <mergeCell ref="B2:K2"/>
    <mergeCell ref="B18:C18"/>
    <mergeCell ref="B17:C17"/>
    <mergeCell ref="B20:D20"/>
  </mergeCells>
  <pageMargins left="0.75" right="0.75" top="1" bottom="1" header="0.5" footer="0.5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B1:F45"/>
  <sheetViews>
    <sheetView showGridLines="0" workbookViewId="0">
      <pane xSplit="1" ySplit="3" topLeftCell="B4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2" customWidth="1" min="1" max="1"/>
    <col width="14" customWidth="1" min="2" max="2"/>
    <col width="14" customWidth="1" min="3" max="3"/>
    <col width="14" customWidth="1" min="4" max="4"/>
    <col width="14" customWidth="1" min="5" max="5"/>
    <col width="14" customWidth="1" min="6" max="6"/>
  </cols>
  <sheetData>
    <row r="1" ht="24" customHeight="1">
      <c r="B1" s="1" t="inlineStr">
        <is>
          <t>Plate Geometry</t>
        </is>
      </c>
      <c r="C1" s="2" t="n"/>
      <c r="D1" s="2" t="n"/>
      <c r="E1" s="2" t="n"/>
      <c r="F1" s="2" t="n"/>
    </row>
    <row r="3">
      <c r="B3" s="5" t="inlineStr">
        <is>
          <t>Total Plates</t>
        </is>
      </c>
      <c r="C3" s="6" t="n"/>
    </row>
    <row r="5" ht="24" customHeight="1">
      <c r="B5" s="3" t="inlineStr">
        <is>
          <t>Box 1 Measurements</t>
        </is>
      </c>
      <c r="C5" s="4" t="n"/>
      <c r="D5" s="4" t="n"/>
      <c r="E5" s="4" t="n"/>
      <c r="F5" s="4" t="n"/>
    </row>
    <row r="6" ht="20" customHeight="1">
      <c r="B6" s="8" t="inlineStr">
        <is>
          <t>Plate #</t>
        </is>
      </c>
      <c r="C6" s="8" t="inlineStr">
        <is>
          <t>Length (mm)</t>
        </is>
      </c>
      <c r="D6" s="8" t="inlineStr">
        <is>
          <t>Thickness (mm)</t>
        </is>
      </c>
      <c r="E6" s="8" t="inlineStr">
        <is>
          <t>Width A (mm)</t>
        </is>
      </c>
      <c r="F6" s="8" t="inlineStr">
        <is>
          <t>Width B (mm)</t>
        </is>
      </c>
    </row>
    <row r="7" ht="16" customHeight="1">
      <c r="B7" s="15" t="n">
        <v>1</v>
      </c>
      <c r="C7" s="16" t="n"/>
      <c r="D7" s="16" t="n"/>
      <c r="E7" s="16" t="n"/>
      <c r="F7" s="16" t="n"/>
    </row>
    <row r="8" ht="16" customHeight="1">
      <c r="B8" s="15" t="n">
        <v>2</v>
      </c>
      <c r="C8" s="16" t="n"/>
      <c r="D8" s="16" t="n"/>
      <c r="E8" s="16" t="n"/>
      <c r="F8" s="16" t="n"/>
    </row>
    <row r="9" ht="16" customHeight="1">
      <c r="B9" s="15" t="n">
        <v>3</v>
      </c>
      <c r="C9" s="16" t="n"/>
      <c r="D9" s="16" t="n"/>
      <c r="E9" s="16" t="n"/>
      <c r="F9" s="16" t="n"/>
    </row>
    <row r="10" ht="16" customHeight="1">
      <c r="B10" s="15" t="n">
        <v>4</v>
      </c>
      <c r="C10" s="16" t="n"/>
      <c r="D10" s="16" t="n"/>
      <c r="E10" s="16" t="n"/>
      <c r="F10" s="16" t="n"/>
    </row>
    <row r="11" ht="16" customHeight="1">
      <c r="B11" s="15" t="n">
        <v>5</v>
      </c>
      <c r="C11" s="16" t="n"/>
      <c r="D11" s="16" t="n"/>
      <c r="E11" s="16" t="n"/>
      <c r="F11" s="16" t="n"/>
    </row>
    <row r="12" ht="16" customHeight="1">
      <c r="B12" s="15" t="n">
        <v>6</v>
      </c>
      <c r="C12" s="16" t="n"/>
      <c r="D12" s="16" t="n"/>
      <c r="E12" s="16" t="n"/>
      <c r="F12" s="16" t="n"/>
    </row>
    <row r="13" ht="16" customHeight="1">
      <c r="B13" s="15" t="n">
        <v>7</v>
      </c>
      <c r="C13" s="16" t="n"/>
      <c r="D13" s="16" t="n"/>
      <c r="E13" s="16" t="n"/>
      <c r="F13" s="16" t="n"/>
    </row>
    <row r="14" ht="16" customHeight="1">
      <c r="B14" s="15" t="n">
        <v>8</v>
      </c>
      <c r="C14" s="16" t="n"/>
      <c r="D14" s="16" t="n"/>
      <c r="E14" s="16" t="n"/>
      <c r="F14" s="16" t="n"/>
    </row>
    <row r="15" ht="16" customHeight="1">
      <c r="B15" s="15" t="n">
        <v>9</v>
      </c>
      <c r="C15" s="16" t="n"/>
      <c r="D15" s="16" t="n"/>
      <c r="E15" s="16" t="n"/>
      <c r="F15" s="16" t="n"/>
    </row>
    <row r="16" ht="16" customHeight="1">
      <c r="B16" s="15" t="n">
        <v>10</v>
      </c>
      <c r="C16" s="16" t="n"/>
      <c r="D16" s="16" t="n"/>
      <c r="E16" s="16" t="n"/>
      <c r="F16" s="16" t="n"/>
    </row>
    <row r="17" ht="16" customHeight="1">
      <c r="B17" s="15" t="n">
        <v>11</v>
      </c>
      <c r="C17" s="16" t="n"/>
      <c r="D17" s="16" t="n"/>
      <c r="E17" s="16" t="n"/>
      <c r="F17" s="16" t="n"/>
    </row>
    <row r="18" ht="16" customHeight="1">
      <c r="B18" s="15" t="n">
        <v>12</v>
      </c>
      <c r="C18" s="16" t="n"/>
      <c r="D18" s="16" t="n"/>
      <c r="E18" s="16" t="n"/>
      <c r="F18" s="16" t="n"/>
    </row>
    <row r="19" ht="16" customHeight="1">
      <c r="B19" s="15" t="n">
        <v>13</v>
      </c>
      <c r="C19" s="16" t="n"/>
      <c r="D19" s="16" t="n"/>
      <c r="E19" s="16" t="n"/>
      <c r="F19" s="16" t="n"/>
    </row>
    <row r="20">
      <c r="B20" s="15" t="inlineStr">
        <is>
          <t>Average</t>
        </is>
      </c>
      <c r="C20" s="17">
        <f>AVERAGE(C7:C19)</f>
        <v/>
      </c>
      <c r="D20" s="17">
        <f>AVERAGE(D7:D19)</f>
        <v/>
      </c>
      <c r="E20" s="17">
        <f>AVERAGE(E7:E19)</f>
        <v/>
      </c>
      <c r="F20" s="17">
        <f>AVERAGE(F7:F19)</f>
        <v/>
      </c>
    </row>
    <row r="22" ht="24" customHeight="1">
      <c r="B22" s="3" t="inlineStr">
        <is>
          <t>Box 2 Measurements</t>
        </is>
      </c>
      <c r="C22" s="4" t="n"/>
      <c r="D22" s="4" t="n"/>
      <c r="E22" s="4" t="n"/>
      <c r="F22" s="4" t="n"/>
    </row>
    <row r="23" ht="20" customHeight="1">
      <c r="B23" s="8" t="inlineStr">
        <is>
          <t>Plate #</t>
        </is>
      </c>
      <c r="C23" s="8" t="inlineStr">
        <is>
          <t>Length (mm)</t>
        </is>
      </c>
      <c r="D23" s="8" t="inlineStr">
        <is>
          <t>Thickness (mm)</t>
        </is>
      </c>
      <c r="E23" s="8" t="inlineStr">
        <is>
          <t>Width A (mm)</t>
        </is>
      </c>
      <c r="F23" s="8" t="inlineStr">
        <is>
          <t>Width B (mm)</t>
        </is>
      </c>
    </row>
    <row r="24" ht="16" customHeight="1">
      <c r="B24" s="15" t="n">
        <v>1</v>
      </c>
      <c r="C24" s="16" t="n"/>
      <c r="D24" s="16" t="n"/>
      <c r="E24" s="16" t="n"/>
      <c r="F24" s="16" t="n"/>
    </row>
    <row r="25" ht="16" customHeight="1">
      <c r="B25" s="15" t="n">
        <v>2</v>
      </c>
      <c r="C25" s="16" t="n"/>
      <c r="D25" s="16" t="n"/>
      <c r="E25" s="16" t="n"/>
      <c r="F25" s="16" t="n"/>
    </row>
    <row r="26" ht="16" customHeight="1">
      <c r="B26" s="15" t="n">
        <v>3</v>
      </c>
      <c r="C26" s="16" t="n"/>
      <c r="D26" s="16" t="n"/>
      <c r="E26" s="16" t="n"/>
      <c r="F26" s="16" t="n"/>
    </row>
    <row r="27" ht="16" customHeight="1">
      <c r="B27" s="15" t="n">
        <v>4</v>
      </c>
      <c r="C27" s="16" t="n"/>
      <c r="D27" s="16" t="n"/>
      <c r="E27" s="16" t="n"/>
      <c r="F27" s="16" t="n"/>
    </row>
    <row r="28" ht="16" customHeight="1">
      <c r="B28" s="15" t="n">
        <v>5</v>
      </c>
      <c r="C28" s="16" t="n"/>
      <c r="D28" s="16" t="n"/>
      <c r="E28" s="16" t="n"/>
      <c r="F28" s="16" t="n"/>
    </row>
    <row r="29" ht="16" customHeight="1">
      <c r="B29" s="15" t="n">
        <v>6</v>
      </c>
      <c r="C29" s="16" t="n"/>
      <c r="D29" s="16" t="n"/>
      <c r="E29" s="16" t="n"/>
      <c r="F29" s="16" t="n"/>
    </row>
    <row r="30" ht="16" customHeight="1">
      <c r="B30" s="15" t="n">
        <v>7</v>
      </c>
      <c r="C30" s="16" t="n"/>
      <c r="D30" s="16" t="n"/>
      <c r="E30" s="16" t="n"/>
      <c r="F30" s="16" t="n"/>
    </row>
    <row r="31" ht="16" customHeight="1">
      <c r="B31" s="15" t="n">
        <v>8</v>
      </c>
      <c r="C31" s="16" t="n"/>
      <c r="D31" s="16" t="n"/>
      <c r="E31" s="16" t="n"/>
      <c r="F31" s="16" t="n"/>
    </row>
    <row r="32" ht="16" customHeight="1">
      <c r="B32" s="15" t="n">
        <v>9</v>
      </c>
      <c r="C32" s="16" t="n"/>
      <c r="D32" s="16" t="n"/>
      <c r="E32" s="16" t="n"/>
      <c r="F32" s="16" t="n"/>
    </row>
    <row r="33" ht="16" customHeight="1">
      <c r="B33" s="15" t="n">
        <v>10</v>
      </c>
      <c r="C33" s="16" t="n"/>
      <c r="D33" s="16" t="n"/>
      <c r="E33" s="16" t="n"/>
      <c r="F33" s="16" t="n"/>
    </row>
    <row r="34" ht="16" customHeight="1">
      <c r="B34" s="15" t="n">
        <v>11</v>
      </c>
      <c r="C34" s="16" t="n"/>
      <c r="D34" s="16" t="n"/>
      <c r="E34" s="16" t="n"/>
      <c r="F34" s="16" t="n"/>
    </row>
    <row r="35" ht="16" customHeight="1">
      <c r="B35" s="15" t="n">
        <v>12</v>
      </c>
      <c r="C35" s="16" t="n"/>
      <c r="D35" s="16" t="n"/>
      <c r="E35" s="16" t="n"/>
      <c r="F35" s="16" t="n"/>
    </row>
    <row r="36" ht="16" customHeight="1">
      <c r="B36" s="15" t="n">
        <v>13</v>
      </c>
      <c r="C36" s="16" t="n"/>
      <c r="D36" s="16" t="n"/>
      <c r="E36" s="16" t="n"/>
      <c r="F36" s="16" t="n"/>
    </row>
    <row r="37">
      <c r="B37" s="15" t="inlineStr">
        <is>
          <t>Average</t>
        </is>
      </c>
      <c r="C37" s="17">
        <f>AVERAGE(C24:C36)</f>
        <v/>
      </c>
      <c r="D37" s="17">
        <f>AVERAGE(D24:D36)</f>
        <v/>
      </c>
      <c r="E37" s="17">
        <f>AVERAGE(E24:E36)</f>
        <v/>
      </c>
      <c r="F37" s="17">
        <f>AVERAGE(F24:F36)</f>
        <v/>
      </c>
    </row>
    <row r="39" ht="24" customHeight="1">
      <c r="B39" s="3" t="inlineStr">
        <is>
          <t>Combined Summary (read-only)</t>
        </is>
      </c>
      <c r="C39" s="4" t="n"/>
      <c r="D39" s="4" t="n"/>
      <c r="E39" s="4" t="n"/>
    </row>
    <row r="40" ht="16" customHeight="1">
      <c r="B40" s="5" t="inlineStr">
        <is>
          <t>Overall Average Length</t>
        </is>
      </c>
      <c r="C40" s="11" t="n"/>
      <c r="D40" s="17">
        <f>AVERAGE(C20,C37)</f>
        <v/>
      </c>
    </row>
    <row r="41" ht="16" customHeight="1">
      <c r="B41" s="5" t="inlineStr">
        <is>
          <t>Overall Average Thickness</t>
        </is>
      </c>
      <c r="C41" s="11" t="n"/>
      <c r="D41" s="17">
        <f>AVERAGE(D20,D37)</f>
        <v/>
      </c>
    </row>
    <row r="42" ht="16" customHeight="1">
      <c r="B42" s="5" t="inlineStr">
        <is>
          <t>Overall Average Width A</t>
        </is>
      </c>
      <c r="C42" s="11" t="n"/>
      <c r="D42" s="17">
        <f>AVERAGE(E20,E37)</f>
        <v/>
      </c>
    </row>
    <row r="43" ht="16" customHeight="1">
      <c r="B43" s="5" t="inlineStr">
        <is>
          <t>Overall Average Width B</t>
        </is>
      </c>
      <c r="C43" s="11" t="n"/>
      <c r="D43" s="17">
        <f>AVERAGE(F20,F37)</f>
        <v/>
      </c>
    </row>
    <row r="45">
      <c r="B45" s="10" t="inlineStr">
        <is>
          <t>[ Back to Home ]</t>
        </is>
      </c>
      <c r="C45" s="11" t="n"/>
      <c r="D45" s="11" t="n"/>
    </row>
  </sheetData>
  <mergeCells count="9">
    <mergeCell ref="B45:D45"/>
    <mergeCell ref="B41:C41"/>
    <mergeCell ref="B5:F5"/>
    <mergeCell ref="B42:C42"/>
    <mergeCell ref="B39:E39"/>
    <mergeCell ref="B22:F22"/>
    <mergeCell ref="B40:C40"/>
    <mergeCell ref="B1:F1"/>
    <mergeCell ref="B43:C43"/>
  </mergeCells>
  <pageMargins left="0.75" right="0.75" top="1" bottom="1" header="0.5" footer="0.5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B1:H17"/>
  <sheetViews>
    <sheetView showGridLines="0" workbookViewId="0">
      <pane xSplit="1" ySplit="3" topLeftCell="B4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2" customWidth="1" min="1" max="1"/>
    <col width="14" customWidth="1" min="2" max="2"/>
    <col width="14" customWidth="1" min="3" max="3"/>
    <col width="14" customWidth="1" min="4" max="4"/>
    <col width="14" customWidth="1" min="5" max="5"/>
    <col width="14" customWidth="1" min="6" max="6"/>
    <col width="14" customWidth="1" min="7" max="7"/>
    <col width="14" customWidth="1" min="8" max="8"/>
  </cols>
  <sheetData>
    <row r="1" ht="24" customHeight="1">
      <c r="B1" s="1" t="inlineStr">
        <is>
          <t>Corrugated Geometry</t>
        </is>
      </c>
      <c r="C1" s="2" t="n"/>
      <c r="D1" s="2" t="n"/>
      <c r="E1" s="2" t="n"/>
      <c r="F1" s="2" t="n"/>
      <c r="G1" s="2" t="n"/>
      <c r="H1" s="2" t="n"/>
    </row>
    <row r="3" ht="20" customHeight="1">
      <c r="B3" s="8" t="inlineStr">
        <is>
          <t>Layer</t>
        </is>
      </c>
      <c r="C3" s="8" t="inlineStr">
        <is>
          <t>SSA (m²/m³)</t>
        </is>
      </c>
      <c r="D3" s="8" t="inlineStr">
        <is>
          <t>Length (mm)</t>
        </is>
      </c>
      <c r="E3" s="8" t="inlineStr">
        <is>
          <t>Width (mm)</t>
        </is>
      </c>
      <c r="F3" s="8" t="inlineStr">
        <is>
          <t>Height (mm)</t>
        </is>
      </c>
      <c r="G3" s="8" t="inlineStr">
        <is>
          <t>Total Cells</t>
        </is>
      </c>
      <c r="H3" s="8" t="inlineStr">
        <is>
          <t>Plugged Cells</t>
        </is>
      </c>
    </row>
    <row r="4" ht="16" customHeight="1">
      <c r="B4" s="15" t="n">
        <v>1</v>
      </c>
      <c r="C4" s="6" t="n"/>
      <c r="D4" s="6" t="n"/>
      <c r="E4" s="6" t="n"/>
      <c r="F4" s="6" t="n"/>
      <c r="G4" s="6" t="n"/>
      <c r="H4" s="6" t="n"/>
    </row>
    <row r="5" ht="16" customHeight="1">
      <c r="B5" s="15" t="n">
        <v>2</v>
      </c>
      <c r="C5" s="6" t="n"/>
      <c r="D5" s="6" t="n"/>
      <c r="E5" s="6" t="n"/>
      <c r="F5" s="6" t="n"/>
      <c r="G5" s="6" t="n"/>
      <c r="H5" s="6" t="n"/>
    </row>
    <row r="6" ht="16" customHeight="1">
      <c r="B6" s="15" t="n">
        <v>3</v>
      </c>
      <c r="C6" s="6" t="n"/>
      <c r="D6" s="6" t="n"/>
      <c r="E6" s="6" t="n"/>
      <c r="F6" s="6" t="n"/>
      <c r="G6" s="6" t="n"/>
      <c r="H6" s="6" t="n"/>
    </row>
    <row r="7" ht="16" customHeight="1">
      <c r="B7" s="15" t="n">
        <v>4</v>
      </c>
      <c r="C7" s="6" t="n"/>
      <c r="D7" s="6" t="n"/>
      <c r="E7" s="6" t="n"/>
      <c r="F7" s="6" t="n"/>
      <c r="G7" s="6" t="n"/>
      <c r="H7" s="6" t="n"/>
    </row>
    <row r="8" ht="16" customHeight="1">
      <c r="B8" s="15" t="n">
        <v>5</v>
      </c>
      <c r="C8" s="6" t="n"/>
      <c r="D8" s="6" t="n"/>
      <c r="E8" s="6" t="n"/>
      <c r="F8" s="6" t="n"/>
      <c r="G8" s="6" t="n"/>
      <c r="H8" s="6" t="n"/>
    </row>
    <row r="9" ht="16" customHeight="1">
      <c r="B9" s="15" t="n">
        <v>6</v>
      </c>
      <c r="C9" s="6" t="n"/>
      <c r="D9" s="6" t="n"/>
      <c r="E9" s="6" t="n"/>
      <c r="F9" s="6" t="n"/>
      <c r="G9" s="6" t="n"/>
      <c r="H9" s="6" t="n"/>
    </row>
    <row r="11" ht="24" customHeight="1">
      <c r="B11" s="3" t="inlineStr">
        <is>
          <t>Resolved Outputs (read-only)</t>
        </is>
      </c>
      <c r="C11" s="4" t="n"/>
      <c r="D11" s="4" t="n"/>
      <c r="E11" s="4" t="n"/>
    </row>
    <row r="12" ht="16" customHeight="1">
      <c r="B12" s="5" t="inlineStr">
        <is>
          <t>Total Active Layers</t>
        </is>
      </c>
      <c r="C12" s="11" t="n"/>
      <c r="D12" s="9" t="n"/>
    </row>
    <row r="13" ht="16" customHeight="1">
      <c r="B13" s="5" t="inlineStr">
        <is>
          <t>Avg Adjusted FFA (m²)</t>
        </is>
      </c>
      <c r="C13" s="11" t="n"/>
      <c r="D13" s="9" t="n"/>
    </row>
    <row r="14" ht="16" customHeight="1">
      <c r="B14" s="5" t="inlineStr">
        <is>
          <t>Total Adjusted Area (m²)</t>
        </is>
      </c>
      <c r="C14" s="11" t="n"/>
      <c r="D14" s="9" t="n"/>
    </row>
    <row r="15" ht="16" customHeight="1">
      <c r="B15" s="5" t="inlineStr">
        <is>
          <t>Active Volume (m³)</t>
        </is>
      </c>
      <c r="C15" s="11" t="n"/>
      <c r="D15" s="9" t="n"/>
    </row>
    <row r="17">
      <c r="B17" s="10" t="inlineStr">
        <is>
          <t>[ Back to Home ]</t>
        </is>
      </c>
      <c r="C17" s="11" t="n"/>
      <c r="D17" s="11" t="n"/>
    </row>
  </sheetData>
  <mergeCells count="7">
    <mergeCell ref="B13:C13"/>
    <mergeCell ref="B15:C15"/>
    <mergeCell ref="B1:H1"/>
    <mergeCell ref="B17:D17"/>
    <mergeCell ref="B14:C14"/>
    <mergeCell ref="B11:E11"/>
    <mergeCell ref="B12:C12"/>
  </mergeCells>
  <pageMargins left="0.75" right="0.75" top="1" bottom="1" header="0.5" footer="0.5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B1:E44"/>
  <sheetViews>
    <sheetView showGridLines="0" workbookViewId="0">
      <pane xSplit="1" ySplit="1" topLeftCell="B2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2" customWidth="1" min="1" max="1"/>
    <col width="28" customWidth="1" min="2" max="2"/>
    <col width="20" customWidth="1" min="3" max="3"/>
    <col width="20" customWidth="1" min="4" max="4"/>
    <col width="20" customWidth="1" min="5" max="5"/>
  </cols>
  <sheetData>
    <row r="1" ht="24" customHeight="1">
      <c r="B1" s="1" t="inlineStr">
        <is>
          <t>Setup Summary</t>
        </is>
      </c>
      <c r="C1" s="2" t="n"/>
      <c r="D1" s="2" t="n"/>
      <c r="E1" s="2" t="n"/>
    </row>
    <row r="3" ht="24" customHeight="1">
      <c r="B3" s="3" t="inlineStr">
        <is>
          <t>Geometry &amp; Flow Results</t>
        </is>
      </c>
      <c r="C3" s="4" t="n"/>
      <c r="D3" s="4" t="n"/>
      <c r="E3" s="4" t="n"/>
    </row>
    <row r="4" ht="20" customHeight="1">
      <c r="B4" s="8" t="inlineStr">
        <is>
          <t>Parameter</t>
        </is>
      </c>
      <c r="C4" s="8" t="inlineStr">
        <is>
          <t>Activity</t>
        </is>
      </c>
      <c r="D4" s="8" t="inlineStr">
        <is>
          <t>Conversion</t>
        </is>
      </c>
    </row>
    <row r="5" ht="16" customHeight="1">
      <c r="B5" s="5" t="inlineStr">
        <is>
          <t>Avg Adjusted FFA (m²)</t>
        </is>
      </c>
      <c r="C5" s="9">
        <f>GC_AvgAdjFFA</f>
        <v/>
      </c>
      <c r="D5" s="9" t="n"/>
    </row>
    <row r="6" ht="16" customHeight="1">
      <c r="B6" s="5" t="inlineStr">
        <is>
          <t>Total Adjusted Area (m²)</t>
        </is>
      </c>
      <c r="C6" s="9">
        <f>GC_TotalAdjArea</f>
        <v/>
      </c>
      <c r="D6" s="9" t="n"/>
    </row>
    <row r="7" ht="16" customHeight="1">
      <c r="B7" s="5" t="inlineStr">
        <is>
          <t>Active Layers</t>
        </is>
      </c>
      <c r="C7" s="9">
        <f>GC_ActiveLayers</f>
        <v/>
      </c>
      <c r="D7" s="9" t="n"/>
    </row>
    <row r="8" ht="16" customHeight="1">
      <c r="B8" s="5" t="inlineStr">
        <is>
          <t>Flow (Nm³/h)</t>
        </is>
      </c>
      <c r="C8" s="9">
        <f>GC_Flow_Act_Nm3h</f>
        <v/>
      </c>
      <c r="D8" s="9">
        <f>GC_Flow_Conv_Nm3h</f>
        <v/>
      </c>
    </row>
    <row r="9" ht="16" customHeight="1">
      <c r="B9" s="5" t="inlineStr">
        <is>
          <t>Flow (scfm)</t>
        </is>
      </c>
      <c r="C9" s="9">
        <f>GC_Flow_Act_scfm</f>
        <v/>
      </c>
      <c r="D9" s="9">
        <f>GC_Flow_Conv_scfm</f>
        <v/>
      </c>
    </row>
    <row r="10" ht="16" customHeight="1">
      <c r="B10" s="5" t="inlineStr">
        <is>
          <t>AV Used</t>
        </is>
      </c>
      <c r="C10" s="9">
        <f>GC_AV_Act</f>
        <v/>
      </c>
      <c r="D10" s="9">
        <f>GC_AV_Conv</f>
        <v/>
      </c>
    </row>
    <row r="11" ht="16" customHeight="1">
      <c r="B11" s="5" t="inlineStr">
        <is>
          <t>Flow Source / Status</t>
        </is>
      </c>
      <c r="C11" s="9">
        <f>GC_Flow_Act_Status</f>
        <v/>
      </c>
      <c r="D11" s="9">
        <f>GC_Flow_Conv_Status</f>
        <v/>
      </c>
    </row>
    <row r="16" ht="24" customHeight="1">
      <c r="B16" s="3" t="inlineStr">
        <is>
          <t>Injection Rates</t>
        </is>
      </c>
      <c r="C16" s="4" t="n"/>
      <c r="D16" s="4" t="n"/>
    </row>
    <row r="17" ht="20" customHeight="1">
      <c r="B17" s="8" t="inlineStr">
        <is>
          <t>Parameter</t>
        </is>
      </c>
      <c r="C17" s="8" t="inlineStr">
        <is>
          <t>Activity</t>
        </is>
      </c>
      <c r="D17" s="8" t="inlineStr">
        <is>
          <t>Conversion</t>
        </is>
      </c>
    </row>
    <row r="18" ht="16" customHeight="1">
      <c r="B18" s="5" t="inlineStr">
        <is>
          <t>SO₃ Injection (mL/min)</t>
        </is>
      </c>
      <c r="C18" s="9">
        <f>GC_SO3_Inj_Act</f>
        <v/>
      </c>
      <c r="D18" s="9">
        <f>GC_SO3_Inj_Conv</f>
        <v/>
      </c>
    </row>
    <row r="19" ht="16" customHeight="1">
      <c r="B19" s="5" t="inlineStr">
        <is>
          <t>NH₃ Injection (mL/min)</t>
        </is>
      </c>
      <c r="C19" s="9">
        <f>GC_NH3_Inj_Act</f>
        <v/>
      </c>
      <c r="D19" s="9">
        <f>GC_NH3_Inj_Conv</f>
        <v/>
      </c>
    </row>
    <row r="20" ht="16" customHeight="1">
      <c r="B20" s="5" t="inlineStr">
        <is>
          <t>SO₂ Injection (mL/min)</t>
        </is>
      </c>
      <c r="C20" s="9">
        <f>GC_SO2_Inj_Act</f>
        <v/>
      </c>
      <c r="D20" s="9">
        <f>GC_SO2_Inj_Conv</f>
        <v/>
      </c>
    </row>
    <row r="21" ht="16" customHeight="1">
      <c r="B21" s="5" t="inlineStr">
        <is>
          <t>Combustion NH₃ Est.</t>
        </is>
      </c>
      <c r="C21" s="9" t="n"/>
      <c r="D21" s="9" t="n"/>
    </row>
    <row r="25" ht="24" customHeight="1">
      <c r="B25" s="3" t="inlineStr">
        <is>
          <t>Slip Prediction</t>
        </is>
      </c>
      <c r="C25" s="4" t="n"/>
      <c r="D25" s="4" t="n"/>
    </row>
    <row r="26" ht="16" customHeight="1">
      <c r="B26" s="5" t="inlineStr">
        <is>
          <t>Expected K</t>
        </is>
      </c>
      <c r="C26" s="6" t="n"/>
    </row>
    <row r="27" ht="16" customHeight="1">
      <c r="B27" s="5" t="inlineStr">
        <is>
          <t>Predicted Slip (ppmvd)</t>
        </is>
      </c>
      <c r="C27" s="9" t="n"/>
    </row>
    <row r="28" ht="16" customHeight="1">
      <c r="B28" s="5" t="inlineStr">
        <is>
          <t>Predicted Outlet NOx</t>
        </is>
      </c>
      <c r="C28" s="9" t="n"/>
    </row>
    <row r="29" ht="16" customHeight="1">
      <c r="B29" s="5" t="inlineStr">
        <is>
          <t>Predicted DeNOx (%)</t>
        </is>
      </c>
      <c r="C29" s="9" t="n"/>
    </row>
    <row r="33" ht="24" customHeight="1">
      <c r="B33" s="3" t="inlineStr">
        <is>
          <t>Setup Verification</t>
        </is>
      </c>
      <c r="C33" s="4" t="n"/>
      <c r="D33" s="4" t="n"/>
    </row>
    <row r="34" ht="16" customHeight="1">
      <c r="B34" s="5" t="inlineStr">
        <is>
          <t>Setup Entered By</t>
        </is>
      </c>
      <c r="C34" s="9">
        <f>Ctrl_SetupEnteredBy</f>
        <v/>
      </c>
    </row>
    <row r="35" ht="16" customHeight="1">
      <c r="B35" s="5" t="inlineStr">
        <is>
          <t>Setup Entered At</t>
        </is>
      </c>
      <c r="C35" s="9">
        <f>Ctrl_SetupEnteredAt</f>
        <v/>
      </c>
    </row>
    <row r="36" ht="16" customHeight="1">
      <c r="B36" s="5" t="inlineStr">
        <is>
          <t>Verification 1 By</t>
        </is>
      </c>
      <c r="C36" s="9">
        <f>Ctrl_Verified1By</f>
        <v/>
      </c>
    </row>
    <row r="37" ht="16" customHeight="1">
      <c r="B37" s="5" t="inlineStr">
        <is>
          <t>Verification 1 At</t>
        </is>
      </c>
      <c r="C37" s="9">
        <f>Ctrl_Verified1At</f>
        <v/>
      </c>
    </row>
    <row r="38" ht="16" customHeight="1">
      <c r="B38" s="5" t="inlineStr">
        <is>
          <t>Verification 2 By</t>
        </is>
      </c>
      <c r="C38" s="9">
        <f>Ctrl_Verified2By</f>
        <v/>
      </c>
    </row>
    <row r="39" ht="16" customHeight="1">
      <c r="B39" s="5" t="inlineStr">
        <is>
          <t>Verification 2 At</t>
        </is>
      </c>
      <c r="C39" s="9">
        <f>Ctrl_Verified2At</f>
        <v/>
      </c>
    </row>
    <row r="40" ht="16" customHeight="1">
      <c r="B40" s="5" t="inlineStr">
        <is>
          <t>Signoff Status</t>
        </is>
      </c>
      <c r="C40" s="9">
        <f>Ctrl_SetupSignoffComplete</f>
        <v/>
      </c>
    </row>
    <row r="43">
      <c r="B43" s="10" t="inlineStr">
        <is>
          <t>[ Verify Setup ]</t>
        </is>
      </c>
      <c r="C43" s="11" t="n"/>
      <c r="D43" s="11" t="n"/>
    </row>
    <row r="44">
      <c r="B44" s="10" t="inlineStr">
        <is>
          <t>[ Back to Home ]</t>
        </is>
      </c>
      <c r="C44" s="11" t="n"/>
      <c r="D44" s="11" t="n"/>
    </row>
  </sheetData>
  <mergeCells count="7">
    <mergeCell ref="B33:D33"/>
    <mergeCell ref="B1:E1"/>
    <mergeCell ref="B3:E3"/>
    <mergeCell ref="B44:D44"/>
    <mergeCell ref="B43:D43"/>
    <mergeCell ref="B25:D25"/>
    <mergeCell ref="B16:D16"/>
  </mergeCells>
  <pageMargins left="0.75" right="0.75" top="1" bottom="1" header="0.5" footer="0.5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B1:P73"/>
  <sheetViews>
    <sheetView showGridLines="0" workbookViewId="0">
      <pane xSplit="1" ySplit="1" topLeftCell="B2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2" customWidth="1" min="1" max="1"/>
    <col width="14" customWidth="1" min="2" max="2"/>
    <col width="12" customWidth="1" min="3" max="3"/>
    <col width="12" customWidth="1" min="4" max="4"/>
    <col width="12" customWidth="1" min="5" max="5"/>
    <col width="12" customWidth="1" min="6" max="6"/>
    <col width="12" customWidth="1" min="7" max="7"/>
    <col width="10" customWidth="1" min="8" max="8"/>
    <col width="12" customWidth="1" min="9" max="9"/>
    <col width="12" customWidth="1" min="10" max="10"/>
    <col width="12" customWidth="1" min="11" max="11"/>
    <col width="12" customWidth="1" min="12" max="12"/>
    <col width="12" customWidth="1" min="13" max="13"/>
    <col width="12" customWidth="1" min="14" max="14"/>
    <col width="12" customWidth="1" min="15" max="15"/>
    <col width="14" customWidth="1" min="16" max="16"/>
  </cols>
  <sheetData>
    <row r="1" ht="24" customHeight="1">
      <c r="B1" s="1" t="inlineStr">
        <is>
          <t>Activity Dashboard</t>
        </is>
      </c>
      <c r="C1" s="2" t="n"/>
      <c r="D1" s="2" t="n"/>
      <c r="E1" s="2" t="n"/>
      <c r="F1" s="2" t="n"/>
      <c r="G1" s="2" t="n"/>
      <c r="H1" s="2" t="n"/>
      <c r="I1" s="2" t="n"/>
      <c r="J1" s="2" t="n"/>
      <c r="K1" s="2" t="n"/>
      <c r="L1" s="2" t="n"/>
      <c r="M1" s="2" t="n"/>
      <c r="N1" s="2" t="n"/>
      <c r="O1" s="2" t="n"/>
      <c r="P1" s="2" t="n"/>
    </row>
    <row r="3" ht="16" customHeight="1">
      <c r="B3" s="15" t="inlineStr">
        <is>
          <t>Test ID:</t>
        </is>
      </c>
      <c r="C3" s="9">
        <f>Ctrl_TestID</f>
        <v/>
      </c>
      <c r="D3" s="15" t="inlineStr">
        <is>
          <t>Sample:</t>
        </is>
      </c>
      <c r="E3" s="9" t="n"/>
      <c r="F3" s="15" t="inlineStr">
        <is>
          <t>Flow:</t>
        </is>
      </c>
      <c r="G3" s="9">
        <f>GC_Flow_Act_Nm3h</f>
        <v/>
      </c>
      <c r="H3" s="15" t="inlineStr">
        <is>
          <t>Check 1:</t>
        </is>
      </c>
      <c r="I3" s="9">
        <f>Ctrl_Verified1By</f>
        <v/>
      </c>
      <c r="J3" s="15" t="inlineStr">
        <is>
          <t>Check 2:</t>
        </is>
      </c>
      <c r="K3" s="9">
        <f>Ctrl_Verified2By</f>
        <v/>
      </c>
    </row>
    <row r="6" ht="24" customHeight="1">
      <c r="B6" s="3" t="inlineStr">
        <is>
          <t>Pre-Test Validation</t>
        </is>
      </c>
      <c r="C6" s="4" t="n"/>
      <c r="D6" s="4" t="n"/>
      <c r="E6" s="4" t="n"/>
      <c r="F6" s="4" t="n"/>
      <c r="G6" s="4" t="n"/>
      <c r="H6" s="4" t="n"/>
    </row>
    <row r="7" ht="20" customHeight="1">
      <c r="B7" s="8" t="inlineStr">
        <is>
          <t>Parameter</t>
        </is>
      </c>
      <c r="C7" s="8" t="inlineStr">
        <is>
          <t>Actual</t>
        </is>
      </c>
      <c r="D7" s="8" t="inlineStr">
        <is>
          <t>Target</t>
        </is>
      </c>
      <c r="E7" s="8" t="inlineStr">
        <is>
          <t>LSL</t>
        </is>
      </c>
      <c r="F7" s="8" t="inlineStr">
        <is>
          <t>USL</t>
        </is>
      </c>
      <c r="G7" s="8" t="inlineStr">
        <is>
          <t>Status</t>
        </is>
      </c>
    </row>
    <row r="8" ht="16" customHeight="1">
      <c r="B8" s="5" t="inlineStr">
        <is>
          <t>Temperature</t>
        </is>
      </c>
      <c r="C8" s="9" t="n"/>
      <c r="D8" s="9" t="n"/>
      <c r="E8" s="9" t="n"/>
      <c r="F8" s="9" t="n"/>
      <c r="G8" s="9" t="n"/>
    </row>
    <row r="9" ht="16" customHeight="1">
      <c r="B9" s="5" t="inlineStr">
        <is>
          <t>Flow</t>
        </is>
      </c>
      <c r="C9" s="9" t="n"/>
      <c r="D9" s="9" t="n"/>
      <c r="E9" s="9" t="n"/>
      <c r="F9" s="9" t="n"/>
      <c r="G9" s="9" t="n"/>
    </row>
    <row r="10" ht="16" customHeight="1">
      <c r="B10" s="5" t="inlineStr">
        <is>
          <t>O₂</t>
        </is>
      </c>
      <c r="C10" s="9" t="n"/>
      <c r="D10" s="9" t="n"/>
      <c r="E10" s="9" t="n"/>
      <c r="F10" s="9" t="n"/>
      <c r="G10" s="9" t="n"/>
    </row>
    <row r="11" ht="16" customHeight="1">
      <c r="B11" s="5" t="inlineStr">
        <is>
          <t>NOx</t>
        </is>
      </c>
      <c r="C11" s="9" t="n"/>
      <c r="D11" s="9" t="n"/>
      <c r="E11" s="9" t="n"/>
      <c r="F11" s="9" t="n"/>
      <c r="G11" s="9" t="n"/>
    </row>
    <row r="12" ht="16" customHeight="1">
      <c r="B12" s="5" t="inlineStr">
        <is>
          <t>SO₂</t>
        </is>
      </c>
      <c r="C12" s="9" t="n"/>
      <c r="D12" s="9" t="n"/>
      <c r="E12" s="9" t="n"/>
      <c r="F12" s="9" t="n"/>
      <c r="G12" s="9" t="n"/>
    </row>
    <row r="13" ht="16" customHeight="1">
      <c r="B13" s="5" t="inlineStr">
        <is>
          <t>NH₃ (MR&gt;0)</t>
        </is>
      </c>
      <c r="C13" s="9" t="n"/>
      <c r="D13" s="9" t="n"/>
      <c r="E13" s="9" t="n"/>
      <c r="F13" s="9" t="n"/>
      <c r="G13" s="9" t="n"/>
    </row>
    <row r="14" ht="16" customHeight="1">
      <c r="B14" s="5" t="inlineStr">
        <is>
          <t>MR (MR&gt;0)</t>
        </is>
      </c>
      <c r="C14" s="9" t="n"/>
      <c r="D14" s="9" t="n"/>
      <c r="E14" s="9" t="n"/>
      <c r="F14" s="9" t="n"/>
      <c r="G14" s="9" t="n"/>
    </row>
    <row r="16">
      <c r="B16" s="10" t="inlineStr">
        <is>
          <t>[ Log Physical ]</t>
        </is>
      </c>
      <c r="C16" s="11" t="n"/>
      <c r="D16" s="10" t="inlineStr">
        <is>
          <t>[ Log NOx ]</t>
        </is>
      </c>
      <c r="E16" s="11" t="n"/>
      <c r="F16" s="10" t="inlineStr">
        <is>
          <t>[ Log SO2 ]</t>
        </is>
      </c>
      <c r="G16" s="11" t="n"/>
      <c r="H16" s="10" t="inlineStr">
        <is>
          <t>[ Log NH3 ]</t>
        </is>
      </c>
      <c r="I16" s="11" t="n"/>
    </row>
    <row r="18" ht="24" customHeight="1">
      <c r="B18" s="3" t="inlineStr">
        <is>
          <t>Activity Results</t>
        </is>
      </c>
      <c r="C18" s="4" t="n"/>
      <c r="D18" s="4" t="n"/>
      <c r="E18" s="4" t="n"/>
      <c r="F18" s="4" t="n"/>
      <c r="G18" s="4" t="n"/>
      <c r="H18" s="4" t="n"/>
      <c r="I18" s="4" t="n"/>
      <c r="J18" s="4" t="n"/>
      <c r="K18" s="4" t="n"/>
      <c r="L18" s="4" t="n"/>
      <c r="M18" s="4" t="n"/>
      <c r="N18" s="4" t="n"/>
      <c r="O18" s="4" t="n"/>
      <c r="P18" s="4" t="n"/>
    </row>
    <row r="19" ht="30" customHeight="1">
      <c r="B19" s="8" t="inlineStr">
        <is>
          <t>Use</t>
        </is>
      </c>
      <c r="C19" s="8" t="inlineStr">
        <is>
          <t>Inlet NOx ID</t>
        </is>
      </c>
      <c r="D19" s="8" t="inlineStr">
        <is>
          <t>Inlet NOx</t>
        </is>
      </c>
      <c r="E19" s="8" t="inlineStr">
        <is>
          <t>Outlet NOx ID</t>
        </is>
      </c>
      <c r="F19" s="8" t="inlineStr">
        <is>
          <t>Outlet NOx</t>
        </is>
      </c>
      <c r="G19" s="8" t="inlineStr">
        <is>
          <t>DeNOx %</t>
        </is>
      </c>
      <c r="H19" s="8" t="inlineStr">
        <is>
          <t>K</t>
        </is>
      </c>
      <c r="I19" s="8" t="inlineStr">
        <is>
          <t>NH3 ID</t>
        </is>
      </c>
      <c r="J19" s="8" t="inlineStr">
        <is>
          <t>NH3 Used</t>
        </is>
      </c>
      <c r="K19" s="8" t="inlineStr">
        <is>
          <t>NH3 Pt</t>
        </is>
      </c>
      <c r="L19" s="8" t="inlineStr">
        <is>
          <t>MR Actual</t>
        </is>
      </c>
      <c r="M19" s="8" t="inlineStr">
        <is>
          <t>Corm-K</t>
        </is>
      </c>
      <c r="N19" s="8" t="inlineStr">
        <is>
          <t>H2O Used</t>
        </is>
      </c>
      <c r="O19" s="8" t="inlineStr">
        <is>
          <t>H2O K</t>
        </is>
      </c>
      <c r="P19" s="8" t="inlineStr">
        <is>
          <t>Browse</t>
        </is>
      </c>
    </row>
    <row r="20" ht="16" customHeight="1">
      <c r="B20" s="6" t="n"/>
      <c r="C20" s="6" t="n"/>
      <c r="D20" s="9" t="n"/>
      <c r="E20" s="6" t="n"/>
      <c r="F20" s="9" t="n"/>
      <c r="G20" s="9" t="n"/>
      <c r="H20" s="9" t="n"/>
      <c r="I20" s="6" t="n"/>
      <c r="J20" s="9" t="n"/>
      <c r="K20" s="9" t="n"/>
      <c r="L20" s="9" t="n"/>
      <c r="M20" s="9" t="n"/>
      <c r="N20" s="9" t="n"/>
      <c r="O20" s="9" t="n"/>
      <c r="P20" s="10" t="inlineStr">
        <is>
          <t>Browse</t>
        </is>
      </c>
    </row>
    <row r="21" ht="16" customHeight="1">
      <c r="B21" s="6" t="n"/>
      <c r="C21" s="6" t="n"/>
      <c r="D21" s="9" t="n"/>
      <c r="E21" s="6" t="n"/>
      <c r="F21" s="9" t="n"/>
      <c r="G21" s="9" t="n"/>
      <c r="H21" s="9" t="n"/>
      <c r="I21" s="6" t="n"/>
      <c r="J21" s="9" t="n"/>
      <c r="K21" s="9" t="n"/>
      <c r="L21" s="9" t="n"/>
      <c r="M21" s="9" t="n"/>
      <c r="N21" s="9" t="n"/>
      <c r="O21" s="9" t="n"/>
      <c r="P21" s="10" t="inlineStr">
        <is>
          <t>Browse</t>
        </is>
      </c>
    </row>
    <row r="22" ht="16" customHeight="1">
      <c r="B22" s="6" t="n"/>
      <c r="C22" s="6" t="n"/>
      <c r="D22" s="9" t="n"/>
      <c r="E22" s="6" t="n"/>
      <c r="F22" s="9" t="n"/>
      <c r="G22" s="9" t="n"/>
      <c r="H22" s="9" t="n"/>
      <c r="I22" s="6" t="n"/>
      <c r="J22" s="9" t="n"/>
      <c r="K22" s="9" t="n"/>
      <c r="L22" s="9" t="n"/>
      <c r="M22" s="9" t="n"/>
      <c r="N22" s="9" t="n"/>
      <c r="O22" s="9" t="n"/>
      <c r="P22" s="10" t="inlineStr">
        <is>
          <t>Browse</t>
        </is>
      </c>
    </row>
    <row r="23" ht="16" customHeight="1">
      <c r="B23" s="6" t="n"/>
      <c r="C23" s="6" t="n"/>
      <c r="D23" s="9" t="n"/>
      <c r="E23" s="6" t="n"/>
      <c r="F23" s="9" t="n"/>
      <c r="G23" s="9" t="n"/>
      <c r="H23" s="9" t="n"/>
      <c r="I23" s="6" t="n"/>
      <c r="J23" s="9" t="n"/>
      <c r="K23" s="9" t="n"/>
      <c r="L23" s="9" t="n"/>
      <c r="M23" s="9" t="n"/>
      <c r="N23" s="9" t="n"/>
      <c r="O23" s="9" t="n"/>
      <c r="P23" s="10" t="inlineStr">
        <is>
          <t>Browse</t>
        </is>
      </c>
    </row>
    <row r="24" ht="16" customHeight="1">
      <c r="B24" s="6" t="n"/>
      <c r="C24" s="6" t="n"/>
      <c r="D24" s="9" t="n"/>
      <c r="E24" s="6" t="n"/>
      <c r="F24" s="9" t="n"/>
      <c r="G24" s="9" t="n"/>
      <c r="H24" s="9" t="n"/>
      <c r="I24" s="6" t="n"/>
      <c r="J24" s="9" t="n"/>
      <c r="K24" s="9" t="n"/>
      <c r="L24" s="9" t="n"/>
      <c r="M24" s="9" t="n"/>
      <c r="N24" s="9" t="n"/>
      <c r="O24" s="9" t="n"/>
      <c r="P24" s="10" t="inlineStr">
        <is>
          <t>Browse</t>
        </is>
      </c>
    </row>
    <row r="25" ht="16" customHeight="1">
      <c r="B25" s="6" t="n"/>
      <c r="C25" s="6" t="n"/>
      <c r="D25" s="9" t="n"/>
      <c r="E25" s="6" t="n"/>
      <c r="F25" s="9" t="n"/>
      <c r="G25" s="9" t="n"/>
      <c r="H25" s="9" t="n"/>
      <c r="I25" s="6" t="n"/>
      <c r="J25" s="9" t="n"/>
      <c r="K25" s="9" t="n"/>
      <c r="L25" s="9" t="n"/>
      <c r="M25" s="9" t="n"/>
      <c r="N25" s="9" t="n"/>
      <c r="O25" s="9" t="n"/>
      <c r="P25" s="10" t="inlineStr">
        <is>
          <t>Browse</t>
        </is>
      </c>
    </row>
    <row r="28" ht="24" customHeight="1">
      <c r="B28" s="3" t="inlineStr">
        <is>
          <t>Steady-State Check</t>
        </is>
      </c>
      <c r="C28" s="4" t="n"/>
      <c r="D28" s="4" t="n"/>
      <c r="E28" s="4" t="n"/>
      <c r="F28" s="4" t="n"/>
      <c r="G28" s="4" t="n"/>
      <c r="H28" s="4" t="n"/>
    </row>
    <row r="29" ht="16" customHeight="1">
      <c r="B29" s="5" t="inlineStr">
        <is>
          <t>K Mean</t>
        </is>
      </c>
      <c r="C29" s="11" t="n"/>
      <c r="D29" s="9" t="n"/>
    </row>
    <row r="30" ht="16" customHeight="1">
      <c r="B30" s="5" t="inlineStr">
        <is>
          <t>K StdDev</t>
        </is>
      </c>
      <c r="C30" s="11" t="n"/>
      <c r="D30" s="9" t="n"/>
    </row>
    <row r="31" ht="16" customHeight="1">
      <c r="B31" s="5" t="inlineStr">
        <is>
          <t>Normalized Slope</t>
        </is>
      </c>
      <c r="C31" s="11" t="n"/>
      <c r="D31" s="9" t="n"/>
    </row>
    <row r="32" ht="16" customHeight="1">
      <c r="B32" s="5" t="inlineStr">
        <is>
          <t>Steady-State Result</t>
        </is>
      </c>
      <c r="C32" s="11" t="n"/>
      <c r="D32" s="9" t="n"/>
    </row>
    <row r="33" ht="16" customHeight="1">
      <c r="B33" s="5" t="inlineStr">
        <is>
          <t>Points Used</t>
        </is>
      </c>
      <c r="C33" s="11" t="n"/>
      <c r="D33" s="9" t="n"/>
    </row>
    <row r="35" ht="24" customHeight="1">
      <c r="B35" s="18" t="inlineStr">
        <is>
          <t>Inlet NOx Readings</t>
        </is>
      </c>
      <c r="C35" s="2" t="n"/>
      <c r="D35" s="2" t="n"/>
      <c r="E35" s="2" t="n"/>
      <c r="F35" s="2" t="n"/>
      <c r="G35" s="2" t="n"/>
      <c r="H35" s="2" t="n"/>
    </row>
    <row r="36" ht="20" customHeight="1">
      <c r="B36" s="8" t="inlineStr">
        <is>
          <t>RecordID</t>
        </is>
      </c>
      <c r="C36" s="8" t="inlineStr">
        <is>
          <t>NOx (ppmvd)</t>
        </is>
      </c>
      <c r="D36" s="8" t="inlineStr">
        <is>
          <t>Analyzer</t>
        </is>
      </c>
      <c r="E36" s="8" t="inlineStr">
        <is>
          <t>H2O (%)</t>
        </is>
      </c>
      <c r="F36" s="8" t="inlineStr">
        <is>
          <t>Time</t>
        </is>
      </c>
      <c r="G36" s="8" t="inlineStr">
        <is>
          <t>Technician</t>
        </is>
      </c>
      <c r="H36" s="8" t="inlineStr">
        <is>
          <t>Excluded</t>
        </is>
      </c>
    </row>
    <row r="37" ht="16" customHeight="1">
      <c r="B37" s="9" t="n"/>
      <c r="C37" s="9" t="n"/>
      <c r="D37" s="9" t="n"/>
      <c r="E37" s="9" t="n"/>
      <c r="F37" s="9" t="n"/>
      <c r="G37" s="9" t="n"/>
      <c r="H37" s="9" t="n"/>
    </row>
    <row r="38" ht="16" customHeight="1">
      <c r="B38" s="9" t="n"/>
      <c r="C38" s="9" t="n"/>
      <c r="D38" s="9" t="n"/>
      <c r="E38" s="9" t="n"/>
      <c r="F38" s="9" t="n"/>
      <c r="G38" s="9" t="n"/>
      <c r="H38" s="9" t="n"/>
    </row>
    <row r="39" ht="16" customHeight="1">
      <c r="B39" s="9" t="n"/>
      <c r="C39" s="9" t="n"/>
      <c r="D39" s="9" t="n"/>
      <c r="E39" s="9" t="n"/>
      <c r="F39" s="9" t="n"/>
      <c r="G39" s="9" t="n"/>
      <c r="H39" s="9" t="n"/>
    </row>
    <row r="40" ht="16" customHeight="1">
      <c r="B40" s="9" t="n"/>
      <c r="C40" s="9" t="n"/>
      <c r="D40" s="9" t="n"/>
      <c r="E40" s="9" t="n"/>
      <c r="F40" s="9" t="n"/>
      <c r="G40" s="9" t="n"/>
      <c r="H40" s="9" t="n"/>
    </row>
    <row r="41" ht="16" customHeight="1">
      <c r="B41" s="9" t="n"/>
      <c r="C41" s="9" t="n"/>
      <c r="D41" s="9" t="n"/>
      <c r="E41" s="9" t="n"/>
      <c r="F41" s="9" t="n"/>
      <c r="G41" s="9" t="n"/>
      <c r="H41" s="9" t="n"/>
    </row>
    <row r="42" ht="16" customHeight="1">
      <c r="B42" s="9" t="n"/>
      <c r="C42" s="9" t="n"/>
      <c r="D42" s="9" t="n"/>
      <c r="E42" s="9" t="n"/>
      <c r="F42" s="9" t="n"/>
      <c r="G42" s="9" t="n"/>
      <c r="H42" s="9" t="n"/>
    </row>
    <row r="43">
      <c r="B43" s="10" t="inlineStr">
        <is>
          <t>[ + Add ]</t>
        </is>
      </c>
      <c r="C43" s="11" t="n"/>
      <c r="D43" s="10" t="inlineStr">
        <is>
          <t>[ Browse ]</t>
        </is>
      </c>
      <c r="E43" s="11" t="n"/>
    </row>
    <row r="45" ht="24" customHeight="1">
      <c r="B45" s="18" t="inlineStr">
        <is>
          <t>Outlet NOx Readings</t>
        </is>
      </c>
      <c r="C45" s="2" t="n"/>
      <c r="D45" s="2" t="n"/>
      <c r="E45" s="2" t="n"/>
      <c r="F45" s="2" t="n"/>
      <c r="G45" s="2" t="n"/>
      <c r="H45" s="2" t="n"/>
    </row>
    <row r="46" ht="20" customHeight="1">
      <c r="B46" s="8" t="inlineStr">
        <is>
          <t>RecordID</t>
        </is>
      </c>
      <c r="C46" s="8" t="inlineStr">
        <is>
          <t>NOx (ppmvd)</t>
        </is>
      </c>
      <c r="D46" s="8" t="inlineStr">
        <is>
          <t>Analyzer</t>
        </is>
      </c>
      <c r="E46" s="8" t="inlineStr">
        <is>
          <t>H2O (%)</t>
        </is>
      </c>
      <c r="F46" s="8" t="inlineStr">
        <is>
          <t>Time</t>
        </is>
      </c>
      <c r="G46" s="8" t="inlineStr">
        <is>
          <t>Technician</t>
        </is>
      </c>
      <c r="H46" s="8" t="inlineStr">
        <is>
          <t>Excluded</t>
        </is>
      </c>
    </row>
    <row r="47" ht="16" customHeight="1">
      <c r="B47" s="9" t="n"/>
      <c r="C47" s="9" t="n"/>
      <c r="D47" s="9" t="n"/>
      <c r="E47" s="9" t="n"/>
      <c r="F47" s="9" t="n"/>
      <c r="G47" s="9" t="n"/>
      <c r="H47" s="9" t="n"/>
    </row>
    <row r="48" ht="16" customHeight="1">
      <c r="B48" s="9" t="n"/>
      <c r="C48" s="9" t="n"/>
      <c r="D48" s="9" t="n"/>
      <c r="E48" s="9" t="n"/>
      <c r="F48" s="9" t="n"/>
      <c r="G48" s="9" t="n"/>
      <c r="H48" s="9" t="n"/>
    </row>
    <row r="49" ht="16" customHeight="1">
      <c r="B49" s="9" t="n"/>
      <c r="C49" s="9" t="n"/>
      <c r="D49" s="9" t="n"/>
      <c r="E49" s="9" t="n"/>
      <c r="F49" s="9" t="n"/>
      <c r="G49" s="9" t="n"/>
      <c r="H49" s="9" t="n"/>
    </row>
    <row r="50" ht="16" customHeight="1">
      <c r="B50" s="9" t="n"/>
      <c r="C50" s="9" t="n"/>
      <c r="D50" s="9" t="n"/>
      <c r="E50" s="9" t="n"/>
      <c r="F50" s="9" t="n"/>
      <c r="G50" s="9" t="n"/>
      <c r="H50" s="9" t="n"/>
    </row>
    <row r="51" ht="16" customHeight="1">
      <c r="B51" s="9" t="n"/>
      <c r="C51" s="9" t="n"/>
      <c r="D51" s="9" t="n"/>
      <c r="E51" s="9" t="n"/>
      <c r="F51" s="9" t="n"/>
      <c r="G51" s="9" t="n"/>
      <c r="H51" s="9" t="n"/>
    </row>
    <row r="52" ht="16" customHeight="1">
      <c r="B52" s="9" t="n"/>
      <c r="C52" s="9" t="n"/>
      <c r="D52" s="9" t="n"/>
      <c r="E52" s="9" t="n"/>
      <c r="F52" s="9" t="n"/>
      <c r="G52" s="9" t="n"/>
      <c r="H52" s="9" t="n"/>
    </row>
    <row r="53">
      <c r="B53" s="10" t="inlineStr">
        <is>
          <t>[ + Add ]</t>
        </is>
      </c>
      <c r="C53" s="11" t="n"/>
      <c r="D53" s="10" t="inlineStr">
        <is>
          <t>[ Browse ]</t>
        </is>
      </c>
      <c r="E53" s="11" t="n"/>
    </row>
    <row r="55" ht="24" customHeight="1">
      <c r="B55" s="18" t="inlineStr">
        <is>
          <t>SO₂ Readings</t>
        </is>
      </c>
      <c r="C55" s="2" t="n"/>
      <c r="D55" s="2" t="n"/>
      <c r="E55" s="2" t="n"/>
      <c r="F55" s="2" t="n"/>
      <c r="G55" s="2" t="n"/>
      <c r="H55" s="2" t="n"/>
    </row>
    <row r="56" ht="20" customHeight="1">
      <c r="B56" s="8" t="inlineStr">
        <is>
          <t>RecordID</t>
        </is>
      </c>
      <c r="C56" s="8" t="inlineStr">
        <is>
          <t>SO2 (ppmvd)</t>
        </is>
      </c>
      <c r="D56" s="8" t="inlineStr">
        <is>
          <t>Stage</t>
        </is>
      </c>
      <c r="E56" s="8" t="inlineStr">
        <is>
          <t>Method</t>
        </is>
      </c>
      <c r="F56" s="8" t="inlineStr">
        <is>
          <t>H2O (%)</t>
        </is>
      </c>
      <c r="G56" s="8" t="inlineStr">
        <is>
          <t>Time</t>
        </is>
      </c>
      <c r="H56" s="8" t="inlineStr">
        <is>
          <t>Technician</t>
        </is>
      </c>
    </row>
    <row r="57" ht="16" customHeight="1">
      <c r="B57" s="9" t="n"/>
      <c r="C57" s="9" t="n"/>
      <c r="D57" s="9" t="n"/>
      <c r="E57" s="9" t="n"/>
      <c r="F57" s="9" t="n"/>
      <c r="G57" s="9" t="n"/>
      <c r="H57" s="9" t="n"/>
    </row>
    <row r="58" ht="16" customHeight="1">
      <c r="B58" s="9" t="n"/>
      <c r="C58" s="9" t="n"/>
      <c r="D58" s="9" t="n"/>
      <c r="E58" s="9" t="n"/>
      <c r="F58" s="9" t="n"/>
      <c r="G58" s="9" t="n"/>
      <c r="H58" s="9" t="n"/>
    </row>
    <row r="59" ht="16" customHeight="1">
      <c r="B59" s="9" t="n"/>
      <c r="C59" s="9" t="n"/>
      <c r="D59" s="9" t="n"/>
      <c r="E59" s="9" t="n"/>
      <c r="F59" s="9" t="n"/>
      <c r="G59" s="9" t="n"/>
      <c r="H59" s="9" t="n"/>
    </row>
    <row r="60" ht="16" customHeight="1">
      <c r="B60" s="9" t="n"/>
      <c r="C60" s="9" t="n"/>
      <c r="D60" s="9" t="n"/>
      <c r="E60" s="9" t="n"/>
      <c r="F60" s="9" t="n"/>
      <c r="G60" s="9" t="n"/>
      <c r="H60" s="9" t="n"/>
    </row>
    <row r="61" ht="16" customHeight="1">
      <c r="B61" s="9" t="n"/>
      <c r="C61" s="9" t="n"/>
      <c r="D61" s="9" t="n"/>
      <c r="E61" s="9" t="n"/>
      <c r="F61" s="9" t="n"/>
      <c r="G61" s="9" t="n"/>
      <c r="H61" s="9" t="n"/>
    </row>
    <row r="62" ht="16" customHeight="1">
      <c r="B62" s="9" t="n"/>
      <c r="C62" s="9" t="n"/>
      <c r="D62" s="9" t="n"/>
      <c r="E62" s="9" t="n"/>
      <c r="F62" s="9" t="n"/>
      <c r="G62" s="9" t="n"/>
      <c r="H62" s="9" t="n"/>
    </row>
    <row r="63">
      <c r="B63" s="10" t="inlineStr">
        <is>
          <t>[ + Add ]</t>
        </is>
      </c>
      <c r="C63" s="11" t="n"/>
      <c r="D63" s="10" t="inlineStr">
        <is>
          <t>[ Browse ]</t>
        </is>
      </c>
      <c r="E63" s="11" t="n"/>
    </row>
    <row r="65" ht="24" customHeight="1">
      <c r="B65" s="18" t="inlineStr">
        <is>
          <t>NH₃ Readings</t>
        </is>
      </c>
      <c r="C65" s="2" t="n"/>
      <c r="D65" s="2" t="n"/>
      <c r="E65" s="2" t="n"/>
      <c r="F65" s="2" t="n"/>
      <c r="G65" s="2" t="n"/>
      <c r="H65" s="2" t="n"/>
    </row>
    <row r="66" ht="20" customHeight="1">
      <c r="B66" s="8" t="inlineStr">
        <is>
          <t>RecordID</t>
        </is>
      </c>
      <c r="C66" s="8" t="inlineStr">
        <is>
          <t>NH3 (ppmvd)</t>
        </is>
      </c>
      <c r="D66" s="8" t="inlineStr">
        <is>
          <t>Point</t>
        </is>
      </c>
      <c r="E66" s="8" t="inlineStr">
        <is>
          <t>Method</t>
        </is>
      </c>
      <c r="F66" s="8" t="inlineStr">
        <is>
          <t>H2O (%)</t>
        </is>
      </c>
      <c r="G66" s="8" t="inlineStr">
        <is>
          <t>Time</t>
        </is>
      </c>
      <c r="H66" s="8" t="inlineStr">
        <is>
          <t>Technician</t>
        </is>
      </c>
    </row>
    <row r="67" ht="16" customHeight="1">
      <c r="B67" s="9" t="n"/>
      <c r="C67" s="9" t="n"/>
      <c r="D67" s="9" t="n"/>
      <c r="E67" s="9" t="n"/>
      <c r="F67" s="9" t="n"/>
      <c r="G67" s="9" t="n"/>
      <c r="H67" s="9" t="n"/>
    </row>
    <row r="68" ht="16" customHeight="1">
      <c r="B68" s="9" t="n"/>
      <c r="C68" s="9" t="n"/>
      <c r="D68" s="9" t="n"/>
      <c r="E68" s="9" t="n"/>
      <c r="F68" s="9" t="n"/>
      <c r="G68" s="9" t="n"/>
      <c r="H68" s="9" t="n"/>
    </row>
    <row r="69" ht="16" customHeight="1">
      <c r="B69" s="9" t="n"/>
      <c r="C69" s="9" t="n"/>
      <c r="D69" s="9" t="n"/>
      <c r="E69" s="9" t="n"/>
      <c r="F69" s="9" t="n"/>
      <c r="G69" s="9" t="n"/>
      <c r="H69" s="9" t="n"/>
    </row>
    <row r="70" ht="16" customHeight="1">
      <c r="B70" s="9" t="n"/>
      <c r="C70" s="9" t="n"/>
      <c r="D70" s="9" t="n"/>
      <c r="E70" s="9" t="n"/>
      <c r="F70" s="9" t="n"/>
      <c r="G70" s="9" t="n"/>
      <c r="H70" s="9" t="n"/>
    </row>
    <row r="71" ht="16" customHeight="1">
      <c r="B71" s="9" t="n"/>
      <c r="C71" s="9" t="n"/>
      <c r="D71" s="9" t="n"/>
      <c r="E71" s="9" t="n"/>
      <c r="F71" s="9" t="n"/>
      <c r="G71" s="9" t="n"/>
      <c r="H71" s="9" t="n"/>
    </row>
    <row r="72" ht="16" customHeight="1">
      <c r="B72" s="9" t="n"/>
      <c r="C72" s="9" t="n"/>
      <c r="D72" s="9" t="n"/>
      <c r="E72" s="9" t="n"/>
      <c r="F72" s="9" t="n"/>
      <c r="G72" s="9" t="n"/>
      <c r="H72" s="9" t="n"/>
    </row>
    <row r="73">
      <c r="B73" s="10" t="inlineStr">
        <is>
          <t>[ + Add ]</t>
        </is>
      </c>
      <c r="C73" s="11" t="n"/>
      <c r="D73" s="10" t="inlineStr">
        <is>
          <t>[ Browse ]</t>
        </is>
      </c>
      <c r="E73" s="11" t="n"/>
    </row>
  </sheetData>
  <mergeCells count="25">
    <mergeCell ref="B16:C16"/>
    <mergeCell ref="F16:G16"/>
    <mergeCell ref="D63:E63"/>
    <mergeCell ref="B65:H65"/>
    <mergeCell ref="B55:H55"/>
    <mergeCell ref="B6:H6"/>
    <mergeCell ref="B1:P1"/>
    <mergeCell ref="B31:C31"/>
    <mergeCell ref="B43:C43"/>
    <mergeCell ref="B45:H45"/>
    <mergeCell ref="B35:H35"/>
    <mergeCell ref="B53:C53"/>
    <mergeCell ref="D53:E53"/>
    <mergeCell ref="B73:C73"/>
    <mergeCell ref="D16:E16"/>
    <mergeCell ref="B29:C29"/>
    <mergeCell ref="H16:I16"/>
    <mergeCell ref="D43:E43"/>
    <mergeCell ref="B30:C30"/>
    <mergeCell ref="B33:C33"/>
    <mergeCell ref="D73:E73"/>
    <mergeCell ref="B32:C32"/>
    <mergeCell ref="B63:C63"/>
    <mergeCell ref="B18:P18"/>
    <mergeCell ref="B28:H28"/>
  </mergeCells>
  <dataValidations count="1">
    <dataValidation sqref="B20:B25" showDropDown="0" showInputMessage="0" showErrorMessage="0" allowBlank="1" type="list">
      <formula1>=List_YesNo</formula1>
    </dataValidation>
  </dataValidations>
  <pageMargins left="0.75" right="0.75" top="1" bottom="1" header="0.5" footer="0.5"/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B1:L84"/>
  <sheetViews>
    <sheetView showGridLines="0" workbookViewId="0">
      <pane xSplit="1" ySplit="1" topLeftCell="B2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2" customWidth="1" min="1" max="1"/>
    <col width="14" customWidth="1" min="2" max="2"/>
    <col width="12" customWidth="1" min="3" max="3"/>
    <col width="14" customWidth="1" min="4" max="4"/>
    <col width="12" customWidth="1" min="5" max="5"/>
    <col width="14" customWidth="1" min="6" max="6"/>
    <col width="12" customWidth="1" min="7" max="7"/>
    <col width="12" customWidth="1" min="8" max="8"/>
    <col width="12" customWidth="1" min="9" max="9"/>
    <col width="12" customWidth="1" min="10" max="10"/>
    <col width="12" customWidth="1" min="11" max="11"/>
    <col width="14" customWidth="1" min="12" max="12"/>
  </cols>
  <sheetData>
    <row r="1" ht="24" customHeight="1">
      <c r="B1" s="1" t="inlineStr">
        <is>
          <t>Conversion Dashboard</t>
        </is>
      </c>
      <c r="C1" s="2" t="n"/>
      <c r="D1" s="2" t="n"/>
      <c r="E1" s="2" t="n"/>
      <c r="F1" s="2" t="n"/>
      <c r="G1" s="2" t="n"/>
      <c r="H1" s="2" t="n"/>
      <c r="I1" s="2" t="n"/>
      <c r="J1" s="2" t="n"/>
      <c r="K1" s="2" t="n"/>
      <c r="L1" s="2" t="n"/>
    </row>
    <row r="3" ht="16" customHeight="1">
      <c r="B3" s="15" t="inlineStr">
        <is>
          <t>Test ID:</t>
        </is>
      </c>
      <c r="C3" s="9">
        <f>Ctrl_TestID</f>
        <v/>
      </c>
      <c r="D3" s="15" t="inlineStr">
        <is>
          <t>Sample:</t>
        </is>
      </c>
      <c r="E3" s="9" t="n"/>
      <c r="F3" s="15" t="inlineStr">
        <is>
          <t>Flow:</t>
        </is>
      </c>
      <c r="G3" s="9">
        <f>GC_Flow_Conv_Nm3h</f>
        <v/>
      </c>
      <c r="H3" s="15" t="inlineStr">
        <is>
          <t>Check 1:</t>
        </is>
      </c>
      <c r="I3" s="9">
        <f>Ctrl_Verified1By</f>
        <v/>
      </c>
      <c r="J3" s="15" t="inlineStr">
        <is>
          <t>Check 2:</t>
        </is>
      </c>
      <c r="K3" s="9">
        <f>Ctrl_Verified2By</f>
        <v/>
      </c>
    </row>
    <row r="6" ht="24" customHeight="1">
      <c r="B6" s="3" t="inlineStr">
        <is>
          <t>Pre-Test Validation</t>
        </is>
      </c>
      <c r="C6" s="4" t="n"/>
      <c r="D6" s="4" t="n"/>
      <c r="E6" s="4" t="n"/>
      <c r="F6" s="4" t="n"/>
      <c r="G6" s="4" t="n"/>
      <c r="H6" s="4" t="n"/>
    </row>
    <row r="7" ht="20" customHeight="1">
      <c r="B7" s="8" t="inlineStr">
        <is>
          <t>Parameter</t>
        </is>
      </c>
      <c r="C7" s="8" t="inlineStr">
        <is>
          <t>Actual</t>
        </is>
      </c>
      <c r="D7" s="8" t="inlineStr">
        <is>
          <t>Target</t>
        </is>
      </c>
      <c r="E7" s="8" t="inlineStr">
        <is>
          <t>LSL</t>
        </is>
      </c>
      <c r="F7" s="8" t="inlineStr">
        <is>
          <t>USL</t>
        </is>
      </c>
      <c r="G7" s="8" t="inlineStr">
        <is>
          <t>Status</t>
        </is>
      </c>
    </row>
    <row r="8" ht="16" customHeight="1">
      <c r="B8" s="5" t="inlineStr">
        <is>
          <t>Temperature</t>
        </is>
      </c>
      <c r="C8" s="9" t="n"/>
      <c r="D8" s="9" t="n"/>
      <c r="E8" s="9" t="n"/>
      <c r="F8" s="9" t="n"/>
      <c r="G8" s="9" t="n"/>
    </row>
    <row r="9" ht="16" customHeight="1">
      <c r="B9" s="5" t="inlineStr">
        <is>
          <t>Flow</t>
        </is>
      </c>
      <c r="C9" s="9" t="n"/>
      <c r="D9" s="9" t="n"/>
      <c r="E9" s="9" t="n"/>
      <c r="F9" s="9" t="n"/>
      <c r="G9" s="9" t="n"/>
    </row>
    <row r="10" ht="16" customHeight="1">
      <c r="B10" s="5" t="inlineStr">
        <is>
          <t>O₂</t>
        </is>
      </c>
      <c r="C10" s="9" t="n"/>
      <c r="D10" s="9" t="n"/>
      <c r="E10" s="9" t="n"/>
      <c r="F10" s="9" t="n"/>
      <c r="G10" s="9" t="n"/>
    </row>
    <row r="11" ht="16" customHeight="1">
      <c r="B11" s="5" t="inlineStr">
        <is>
          <t>NOx</t>
        </is>
      </c>
      <c r="C11" s="9" t="n"/>
      <c r="D11" s="9" t="n"/>
      <c r="E11" s="9" t="n"/>
      <c r="F11" s="9" t="n"/>
      <c r="G11" s="9" t="n"/>
    </row>
    <row r="12" ht="16" customHeight="1">
      <c r="B12" s="5" t="inlineStr">
        <is>
          <t>SO₂</t>
        </is>
      </c>
      <c r="C12" s="9" t="n"/>
      <c r="D12" s="9" t="n"/>
      <c r="E12" s="9" t="n"/>
      <c r="F12" s="9" t="n"/>
      <c r="G12" s="9" t="n"/>
    </row>
    <row r="13" ht="16" customHeight="1">
      <c r="B13" s="5" t="inlineStr">
        <is>
          <t>SO₃</t>
        </is>
      </c>
      <c r="C13" s="9" t="n"/>
      <c r="D13" s="9" t="n"/>
      <c r="E13" s="9" t="n"/>
      <c r="F13" s="9" t="n"/>
      <c r="G13" s="9" t="n"/>
    </row>
    <row r="14" ht="16" customHeight="1">
      <c r="B14" s="5" t="inlineStr">
        <is>
          <t>NH₃ (MR&gt;0)</t>
        </is>
      </c>
      <c r="C14" s="9" t="n"/>
      <c r="D14" s="9" t="n"/>
      <c r="E14" s="9" t="n"/>
      <c r="F14" s="9" t="n"/>
      <c r="G14" s="9" t="n"/>
    </row>
    <row r="15" ht="16" customHeight="1">
      <c r="B15" s="5" t="inlineStr">
        <is>
          <t>MR (MR&gt;0)</t>
        </is>
      </c>
      <c r="C15" s="9" t="n"/>
      <c r="D15" s="9" t="n"/>
      <c r="E15" s="9" t="n"/>
      <c r="F15" s="9" t="n"/>
      <c r="G15" s="9" t="n"/>
    </row>
    <row r="17">
      <c r="B17" s="10" t="inlineStr">
        <is>
          <t>[ Log Physical ]</t>
        </is>
      </c>
      <c r="C17" s="11" t="n"/>
      <c r="D17" s="10" t="inlineStr">
        <is>
          <t>[ Log SO3 ]</t>
        </is>
      </c>
      <c r="E17" s="11" t="n"/>
      <c r="F17" s="10" t="inlineStr">
        <is>
          <t>[ Log SO2 ]</t>
        </is>
      </c>
      <c r="G17" s="11" t="n"/>
      <c r="H17" s="10" t="inlineStr">
        <is>
          <t>[ Log NOx ]</t>
        </is>
      </c>
      <c r="I17" s="11" t="n"/>
      <c r="J17" s="10" t="inlineStr">
        <is>
          <t>[ Log NH3 ]</t>
        </is>
      </c>
      <c r="K17" s="11" t="n"/>
    </row>
    <row r="19" ht="24" customHeight="1">
      <c r="B19" s="3" t="inlineStr">
        <is>
          <t>Conversion Results</t>
        </is>
      </c>
      <c r="C19" s="4" t="n"/>
      <c r="D19" s="4" t="n"/>
      <c r="E19" s="4" t="n"/>
      <c r="F19" s="4" t="n"/>
      <c r="G19" s="4" t="n"/>
      <c r="H19" s="4" t="n"/>
      <c r="I19" s="4" t="n"/>
      <c r="J19" s="4" t="n"/>
      <c r="K19" s="4" t="n"/>
      <c r="L19" s="4" t="n"/>
    </row>
    <row r="20" ht="30" customHeight="1">
      <c r="B20" s="8" t="inlineStr">
        <is>
          <t>Use</t>
        </is>
      </c>
      <c r="C20" s="8" t="inlineStr">
        <is>
          <t>Out SO3 ID</t>
        </is>
      </c>
      <c r="D20" s="8" t="inlineStr">
        <is>
          <t>Out SO3</t>
        </is>
      </c>
      <c r="E20" s="8" t="inlineStr">
        <is>
          <t>In SO3 Src</t>
        </is>
      </c>
      <c r="F20" s="8" t="inlineStr">
        <is>
          <t>In SO3</t>
        </is>
      </c>
      <c r="G20" s="8" t="inlineStr">
        <is>
          <t>SO2 Src</t>
        </is>
      </c>
      <c r="H20" s="8" t="inlineStr">
        <is>
          <t>SO2 Used</t>
        </is>
      </c>
      <c r="I20" s="8" t="inlineStr">
        <is>
          <t>Difference</t>
        </is>
      </c>
      <c r="J20" s="8" t="inlineStr">
        <is>
          <t>Conv %</t>
        </is>
      </c>
      <c r="K20" s="8" t="inlineStr">
        <is>
          <t>NH3 ID</t>
        </is>
      </c>
      <c r="L20" s="8" t="inlineStr">
        <is>
          <t>Browse</t>
        </is>
      </c>
    </row>
    <row r="21" ht="16" customHeight="1">
      <c r="B21" s="6" t="n"/>
      <c r="C21" s="6" t="n"/>
      <c r="D21" s="9" t="n"/>
      <c r="E21" s="6" t="n"/>
      <c r="F21" s="9" t="n"/>
      <c r="G21" s="6" t="n"/>
      <c r="H21" s="9" t="n"/>
      <c r="I21" s="9" t="n"/>
      <c r="J21" s="9" t="n"/>
      <c r="K21" s="6" t="n"/>
      <c r="L21" s="10" t="inlineStr">
        <is>
          <t>Browse</t>
        </is>
      </c>
    </row>
    <row r="22" ht="16" customHeight="1">
      <c r="B22" s="6" t="n"/>
      <c r="C22" s="6" t="n"/>
      <c r="D22" s="9" t="n"/>
      <c r="E22" s="6" t="n"/>
      <c r="F22" s="9" t="n"/>
      <c r="G22" s="6" t="n"/>
      <c r="H22" s="9" t="n"/>
      <c r="I22" s="9" t="n"/>
      <c r="J22" s="9" t="n"/>
      <c r="K22" s="6" t="n"/>
      <c r="L22" s="10" t="inlineStr">
        <is>
          <t>Browse</t>
        </is>
      </c>
    </row>
    <row r="23" ht="16" customHeight="1">
      <c r="B23" s="6" t="n"/>
      <c r="C23" s="6" t="n"/>
      <c r="D23" s="9" t="n"/>
      <c r="E23" s="6" t="n"/>
      <c r="F23" s="9" t="n"/>
      <c r="G23" s="6" t="n"/>
      <c r="H23" s="9" t="n"/>
      <c r="I23" s="9" t="n"/>
      <c r="J23" s="9" t="n"/>
      <c r="K23" s="6" t="n"/>
      <c r="L23" s="10" t="inlineStr">
        <is>
          <t>Browse</t>
        </is>
      </c>
    </row>
    <row r="24" ht="16" customHeight="1">
      <c r="B24" s="6" t="n"/>
      <c r="C24" s="6" t="n"/>
      <c r="D24" s="9" t="n"/>
      <c r="E24" s="6" t="n"/>
      <c r="F24" s="9" t="n"/>
      <c r="G24" s="6" t="n"/>
      <c r="H24" s="9" t="n"/>
      <c r="I24" s="9" t="n"/>
      <c r="J24" s="9" t="n"/>
      <c r="K24" s="6" t="n"/>
      <c r="L24" s="10" t="inlineStr">
        <is>
          <t>Browse</t>
        </is>
      </c>
    </row>
    <row r="25" ht="16" customHeight="1">
      <c r="B25" s="6" t="n"/>
      <c r="C25" s="6" t="n"/>
      <c r="D25" s="9" t="n"/>
      <c r="E25" s="6" t="n"/>
      <c r="F25" s="9" t="n"/>
      <c r="G25" s="6" t="n"/>
      <c r="H25" s="9" t="n"/>
      <c r="I25" s="9" t="n"/>
      <c r="J25" s="9" t="n"/>
      <c r="K25" s="6" t="n"/>
      <c r="L25" s="10" t="inlineStr">
        <is>
          <t>Browse</t>
        </is>
      </c>
    </row>
    <row r="26" ht="16" customHeight="1">
      <c r="B26" s="6" t="n"/>
      <c r="C26" s="6" t="n"/>
      <c r="D26" s="9" t="n"/>
      <c r="E26" s="6" t="n"/>
      <c r="F26" s="9" t="n"/>
      <c r="G26" s="6" t="n"/>
      <c r="H26" s="9" t="n"/>
      <c r="I26" s="9" t="n"/>
      <c r="J26" s="9" t="n"/>
      <c r="K26" s="6" t="n"/>
      <c r="L26" s="10" t="inlineStr">
        <is>
          <t>Browse</t>
        </is>
      </c>
    </row>
    <row r="29" ht="24" customHeight="1">
      <c r="B29" s="3" t="inlineStr">
        <is>
          <t>Steady-State Check</t>
        </is>
      </c>
      <c r="C29" s="4" t="n"/>
      <c r="D29" s="4" t="n"/>
      <c r="E29" s="4" t="n"/>
      <c r="F29" s="4" t="n"/>
      <c r="G29" s="4" t="n"/>
      <c r="H29" s="4" t="n"/>
    </row>
    <row r="30" ht="16" customHeight="1">
      <c r="B30" s="5" t="inlineStr">
        <is>
          <t>Conv % Mean</t>
        </is>
      </c>
      <c r="C30" s="11" t="n"/>
      <c r="D30" s="9" t="n"/>
    </row>
    <row r="31" ht="16" customHeight="1">
      <c r="B31" s="5" t="inlineStr">
        <is>
          <t>Conv % StdDev</t>
        </is>
      </c>
      <c r="C31" s="11" t="n"/>
      <c r="D31" s="9" t="n"/>
    </row>
    <row r="32" ht="16" customHeight="1">
      <c r="B32" s="5" t="inlineStr">
        <is>
          <t>Normalized Slope</t>
        </is>
      </c>
      <c r="C32" s="11" t="n"/>
      <c r="D32" s="9" t="n"/>
    </row>
    <row r="33" ht="16" customHeight="1">
      <c r="B33" s="5" t="inlineStr">
        <is>
          <t>Steady-State Result</t>
        </is>
      </c>
      <c r="C33" s="11" t="n"/>
      <c r="D33" s="9" t="n"/>
    </row>
    <row r="34" ht="16" customHeight="1">
      <c r="B34" s="5" t="inlineStr">
        <is>
          <t>Points Used</t>
        </is>
      </c>
      <c r="C34" s="11" t="n"/>
      <c r="D34" s="9" t="n"/>
    </row>
    <row r="36" ht="24" customHeight="1">
      <c r="B36" s="18" t="inlineStr">
        <is>
          <t>SO₃ Outlet Readings</t>
        </is>
      </c>
      <c r="C36" s="2" t="n"/>
      <c r="D36" s="2" t="n"/>
      <c r="E36" s="2" t="n"/>
      <c r="F36" s="2" t="n"/>
      <c r="G36" s="2" t="n"/>
    </row>
    <row r="37" ht="20" customHeight="1">
      <c r="B37" s="8" t="inlineStr">
        <is>
          <t>RecordID</t>
        </is>
      </c>
      <c r="C37" s="8" t="inlineStr">
        <is>
          <t>SO3 (ppmvd)</t>
        </is>
      </c>
      <c r="D37" s="8" t="inlineStr">
        <is>
          <t>Pull Vol</t>
        </is>
      </c>
      <c r="E37" s="8" t="inlineStr">
        <is>
          <t>Time</t>
        </is>
      </c>
      <c r="F37" s="8" t="inlineStr">
        <is>
          <t>Technician</t>
        </is>
      </c>
      <c r="G37" s="8" t="inlineStr">
        <is>
          <t>Excluded</t>
        </is>
      </c>
    </row>
    <row r="38" ht="16" customHeight="1">
      <c r="B38" s="9" t="n"/>
      <c r="C38" s="9" t="n"/>
      <c r="D38" s="9" t="n"/>
      <c r="E38" s="9" t="n"/>
      <c r="F38" s="9" t="n"/>
      <c r="G38" s="9" t="n"/>
    </row>
    <row r="39" ht="16" customHeight="1">
      <c r="B39" s="9" t="n"/>
      <c r="C39" s="9" t="n"/>
      <c r="D39" s="9" t="n"/>
      <c r="E39" s="9" t="n"/>
      <c r="F39" s="9" t="n"/>
      <c r="G39" s="9" t="n"/>
    </row>
    <row r="40" ht="16" customHeight="1">
      <c r="B40" s="9" t="n"/>
      <c r="C40" s="9" t="n"/>
      <c r="D40" s="9" t="n"/>
      <c r="E40" s="9" t="n"/>
      <c r="F40" s="9" t="n"/>
      <c r="G40" s="9" t="n"/>
    </row>
    <row r="41" ht="16" customHeight="1">
      <c r="B41" s="9" t="n"/>
      <c r="C41" s="9" t="n"/>
      <c r="D41" s="9" t="n"/>
      <c r="E41" s="9" t="n"/>
      <c r="F41" s="9" t="n"/>
      <c r="G41" s="9" t="n"/>
    </row>
    <row r="42" ht="16" customHeight="1">
      <c r="B42" s="9" t="n"/>
      <c r="C42" s="9" t="n"/>
      <c r="D42" s="9" t="n"/>
      <c r="E42" s="9" t="n"/>
      <c r="F42" s="9" t="n"/>
      <c r="G42" s="9" t="n"/>
    </row>
    <row r="43" ht="16" customHeight="1">
      <c r="B43" s="9" t="n"/>
      <c r="C43" s="9" t="n"/>
      <c r="D43" s="9" t="n"/>
      <c r="E43" s="9" t="n"/>
      <c r="F43" s="9" t="n"/>
      <c r="G43" s="9" t="n"/>
    </row>
    <row r="44">
      <c r="B44" s="10" t="inlineStr">
        <is>
          <t>[ + Add ]</t>
        </is>
      </c>
      <c r="C44" s="11" t="n"/>
      <c r="D44" s="10" t="inlineStr">
        <is>
          <t>[ Browse ]</t>
        </is>
      </c>
      <c r="E44" s="11" t="n"/>
    </row>
    <row r="46" ht="24" customHeight="1">
      <c r="B46" s="18" t="inlineStr">
        <is>
          <t>SO₃ Inlet Readings</t>
        </is>
      </c>
      <c r="C46" s="2" t="n"/>
      <c r="D46" s="2" t="n"/>
      <c r="E46" s="2" t="n"/>
      <c r="F46" s="2" t="n"/>
      <c r="G46" s="2" t="n"/>
    </row>
    <row r="47" ht="20" customHeight="1">
      <c r="B47" s="8" t="inlineStr">
        <is>
          <t>RecordID</t>
        </is>
      </c>
      <c r="C47" s="8" t="inlineStr">
        <is>
          <t>SO3 (ppmvd)</t>
        </is>
      </c>
      <c r="D47" s="8" t="inlineStr">
        <is>
          <t>Pull Vol</t>
        </is>
      </c>
      <c r="E47" s="8" t="inlineStr">
        <is>
          <t>Time</t>
        </is>
      </c>
      <c r="F47" s="8" t="inlineStr">
        <is>
          <t>Technician</t>
        </is>
      </c>
      <c r="G47" s="8" t="inlineStr">
        <is>
          <t>Excluded</t>
        </is>
      </c>
    </row>
    <row r="48" ht="16" customHeight="1">
      <c r="B48" s="9" t="n"/>
      <c r="C48" s="9" t="n"/>
      <c r="D48" s="9" t="n"/>
      <c r="E48" s="9" t="n"/>
      <c r="F48" s="9" t="n"/>
      <c r="G48" s="9" t="n"/>
    </row>
    <row r="49" ht="16" customHeight="1">
      <c r="B49" s="9" t="n"/>
      <c r="C49" s="9" t="n"/>
      <c r="D49" s="9" t="n"/>
      <c r="E49" s="9" t="n"/>
      <c r="F49" s="9" t="n"/>
      <c r="G49" s="9" t="n"/>
    </row>
    <row r="50" ht="16" customHeight="1">
      <c r="B50" s="9" t="n"/>
      <c r="C50" s="9" t="n"/>
      <c r="D50" s="9" t="n"/>
      <c r="E50" s="9" t="n"/>
      <c r="F50" s="9" t="n"/>
      <c r="G50" s="9" t="n"/>
    </row>
    <row r="51" ht="16" customHeight="1">
      <c r="B51" s="9" t="n"/>
      <c r="C51" s="9" t="n"/>
      <c r="D51" s="9" t="n"/>
      <c r="E51" s="9" t="n"/>
      <c r="F51" s="9" t="n"/>
      <c r="G51" s="9" t="n"/>
    </row>
    <row r="52" ht="16" customHeight="1">
      <c r="B52" s="9" t="n"/>
      <c r="C52" s="9" t="n"/>
      <c r="D52" s="9" t="n"/>
      <c r="E52" s="9" t="n"/>
      <c r="F52" s="9" t="n"/>
      <c r="G52" s="9" t="n"/>
    </row>
    <row r="53" ht="16" customHeight="1">
      <c r="B53" s="9" t="n"/>
      <c r="C53" s="9" t="n"/>
      <c r="D53" s="9" t="n"/>
      <c r="E53" s="9" t="n"/>
      <c r="F53" s="9" t="n"/>
      <c r="G53" s="9" t="n"/>
    </row>
    <row r="54">
      <c r="B54" s="10" t="inlineStr">
        <is>
          <t>[ + Add ]</t>
        </is>
      </c>
      <c r="C54" s="11" t="n"/>
      <c r="D54" s="10" t="inlineStr">
        <is>
          <t>[ Browse ]</t>
        </is>
      </c>
      <c r="E54" s="11" t="n"/>
    </row>
    <row r="56" ht="24" customHeight="1">
      <c r="B56" s="18" t="inlineStr">
        <is>
          <t>SO₂ Readings</t>
        </is>
      </c>
      <c r="C56" s="2" t="n"/>
      <c r="D56" s="2" t="n"/>
      <c r="E56" s="2" t="n"/>
      <c r="F56" s="2" t="n"/>
      <c r="G56" s="2" t="n"/>
    </row>
    <row r="57" ht="20" customHeight="1">
      <c r="B57" s="8" t="inlineStr">
        <is>
          <t>RecordID</t>
        </is>
      </c>
      <c r="C57" s="8" t="inlineStr">
        <is>
          <t>SO2 (ppmvd)</t>
        </is>
      </c>
      <c r="D57" s="8" t="inlineStr">
        <is>
          <t>Stage</t>
        </is>
      </c>
      <c r="E57" s="8" t="inlineStr">
        <is>
          <t>Method</t>
        </is>
      </c>
      <c r="F57" s="8" t="inlineStr">
        <is>
          <t>Time</t>
        </is>
      </c>
      <c r="G57" s="8" t="inlineStr">
        <is>
          <t>Technician</t>
        </is>
      </c>
    </row>
    <row r="58" ht="16" customHeight="1">
      <c r="B58" s="9" t="n"/>
      <c r="C58" s="9" t="n"/>
      <c r="D58" s="9" t="n"/>
      <c r="E58" s="9" t="n"/>
      <c r="F58" s="9" t="n"/>
      <c r="G58" s="9" t="n"/>
    </row>
    <row r="59" ht="16" customHeight="1">
      <c r="B59" s="9" t="n"/>
      <c r="C59" s="9" t="n"/>
      <c r="D59" s="9" t="n"/>
      <c r="E59" s="9" t="n"/>
      <c r="F59" s="9" t="n"/>
      <c r="G59" s="9" t="n"/>
    </row>
    <row r="60" ht="16" customHeight="1">
      <c r="B60" s="9" t="n"/>
      <c r="C60" s="9" t="n"/>
      <c r="D60" s="9" t="n"/>
      <c r="E60" s="9" t="n"/>
      <c r="F60" s="9" t="n"/>
      <c r="G60" s="9" t="n"/>
    </row>
    <row r="61" ht="16" customHeight="1">
      <c r="B61" s="9" t="n"/>
      <c r="C61" s="9" t="n"/>
      <c r="D61" s="9" t="n"/>
      <c r="E61" s="9" t="n"/>
      <c r="F61" s="9" t="n"/>
      <c r="G61" s="9" t="n"/>
    </row>
    <row r="62" ht="16" customHeight="1">
      <c r="B62" s="9" t="n"/>
      <c r="C62" s="9" t="n"/>
      <c r="D62" s="9" t="n"/>
      <c r="E62" s="9" t="n"/>
      <c r="F62" s="9" t="n"/>
      <c r="G62" s="9" t="n"/>
    </row>
    <row r="63" ht="16" customHeight="1">
      <c r="B63" s="9" t="n"/>
      <c r="C63" s="9" t="n"/>
      <c r="D63" s="9" t="n"/>
      <c r="E63" s="9" t="n"/>
      <c r="F63" s="9" t="n"/>
      <c r="G63" s="9" t="n"/>
    </row>
    <row r="64">
      <c r="B64" s="10" t="inlineStr">
        <is>
          <t>[ + Add ]</t>
        </is>
      </c>
      <c r="C64" s="11" t="n"/>
      <c r="D64" s="10" t="inlineStr">
        <is>
          <t>[ Browse ]</t>
        </is>
      </c>
      <c r="E64" s="11" t="n"/>
    </row>
    <row r="66" ht="24" customHeight="1">
      <c r="B66" s="18" t="inlineStr">
        <is>
          <t>NOx Readings</t>
        </is>
      </c>
      <c r="C66" s="2" t="n"/>
      <c r="D66" s="2" t="n"/>
      <c r="E66" s="2" t="n"/>
      <c r="F66" s="2" t="n"/>
    </row>
    <row r="67" ht="20" customHeight="1">
      <c r="B67" s="8" t="inlineStr">
        <is>
          <t>RecordID</t>
        </is>
      </c>
      <c r="C67" s="8" t="inlineStr">
        <is>
          <t>NOx (ppmvd)</t>
        </is>
      </c>
      <c r="D67" s="8" t="inlineStr">
        <is>
          <t>Analyzer</t>
        </is>
      </c>
      <c r="E67" s="8" t="inlineStr">
        <is>
          <t>Time</t>
        </is>
      </c>
      <c r="F67" s="8" t="inlineStr">
        <is>
          <t>Technician</t>
        </is>
      </c>
    </row>
    <row r="68" ht="16" customHeight="1">
      <c r="B68" s="9" t="n"/>
      <c r="C68" s="9" t="n"/>
      <c r="D68" s="9" t="n"/>
      <c r="E68" s="9" t="n"/>
      <c r="F68" s="9" t="n"/>
    </row>
    <row r="69" ht="16" customHeight="1">
      <c r="B69" s="9" t="n"/>
      <c r="C69" s="9" t="n"/>
      <c r="D69" s="9" t="n"/>
      <c r="E69" s="9" t="n"/>
      <c r="F69" s="9" t="n"/>
    </row>
    <row r="70" ht="16" customHeight="1">
      <c r="B70" s="9" t="n"/>
      <c r="C70" s="9" t="n"/>
      <c r="D70" s="9" t="n"/>
      <c r="E70" s="9" t="n"/>
      <c r="F70" s="9" t="n"/>
    </row>
    <row r="71" ht="16" customHeight="1">
      <c r="B71" s="9" t="n"/>
      <c r="C71" s="9" t="n"/>
      <c r="D71" s="9" t="n"/>
      <c r="E71" s="9" t="n"/>
      <c r="F71" s="9" t="n"/>
    </row>
    <row r="72" ht="16" customHeight="1">
      <c r="B72" s="9" t="n"/>
      <c r="C72" s="9" t="n"/>
      <c r="D72" s="9" t="n"/>
      <c r="E72" s="9" t="n"/>
      <c r="F72" s="9" t="n"/>
    </row>
    <row r="73" ht="16" customHeight="1">
      <c r="B73" s="9" t="n"/>
      <c r="C73" s="9" t="n"/>
      <c r="D73" s="9" t="n"/>
      <c r="E73" s="9" t="n"/>
      <c r="F73" s="9" t="n"/>
    </row>
    <row r="74">
      <c r="B74" s="10" t="inlineStr">
        <is>
          <t>[ + Add ]</t>
        </is>
      </c>
      <c r="C74" s="11" t="n"/>
      <c r="D74" s="10" t="inlineStr">
        <is>
          <t>[ Browse ]</t>
        </is>
      </c>
      <c r="E74" s="11" t="n"/>
    </row>
    <row r="76" ht="24" customHeight="1">
      <c r="B76" s="18" t="inlineStr">
        <is>
          <t>NH₃ Readings</t>
        </is>
      </c>
      <c r="C76" s="2" t="n"/>
      <c r="D76" s="2" t="n"/>
      <c r="E76" s="2" t="n"/>
      <c r="F76" s="2" t="n"/>
      <c r="G76" s="2" t="n"/>
      <c r="H76" s="2" t="n"/>
    </row>
    <row r="77" ht="20" customHeight="1">
      <c r="B77" s="8" t="inlineStr">
        <is>
          <t>RecordID</t>
        </is>
      </c>
      <c r="C77" s="8" t="inlineStr">
        <is>
          <t>NH3 (ppmvd)</t>
        </is>
      </c>
      <c r="D77" s="8" t="inlineStr">
        <is>
          <t>Point</t>
        </is>
      </c>
      <c r="E77" s="8" t="inlineStr">
        <is>
          <t>Method</t>
        </is>
      </c>
      <c r="F77" s="8" t="inlineStr">
        <is>
          <t>H2O (%)</t>
        </is>
      </c>
      <c r="G77" s="8" t="inlineStr">
        <is>
          <t>Time</t>
        </is>
      </c>
      <c r="H77" s="8" t="inlineStr">
        <is>
          <t>Technician</t>
        </is>
      </c>
    </row>
    <row r="78" ht="16" customHeight="1">
      <c r="B78" s="9" t="n"/>
      <c r="C78" s="9" t="n"/>
      <c r="D78" s="9" t="n"/>
      <c r="E78" s="9" t="n"/>
      <c r="F78" s="9" t="n"/>
      <c r="G78" s="9" t="n"/>
      <c r="H78" s="9" t="n"/>
    </row>
    <row r="79" ht="16" customHeight="1">
      <c r="B79" s="9" t="n"/>
      <c r="C79" s="9" t="n"/>
      <c r="D79" s="9" t="n"/>
      <c r="E79" s="9" t="n"/>
      <c r="F79" s="9" t="n"/>
      <c r="G79" s="9" t="n"/>
      <c r="H79" s="9" t="n"/>
    </row>
    <row r="80" ht="16" customHeight="1">
      <c r="B80" s="9" t="n"/>
      <c r="C80" s="9" t="n"/>
      <c r="D80" s="9" t="n"/>
      <c r="E80" s="9" t="n"/>
      <c r="F80" s="9" t="n"/>
      <c r="G80" s="9" t="n"/>
      <c r="H80" s="9" t="n"/>
    </row>
    <row r="81" ht="16" customHeight="1">
      <c r="B81" s="9" t="n"/>
      <c r="C81" s="9" t="n"/>
      <c r="D81" s="9" t="n"/>
      <c r="E81" s="9" t="n"/>
      <c r="F81" s="9" t="n"/>
      <c r="G81" s="9" t="n"/>
      <c r="H81" s="9" t="n"/>
    </row>
    <row r="82" ht="16" customHeight="1">
      <c r="B82" s="9" t="n"/>
      <c r="C82" s="9" t="n"/>
      <c r="D82" s="9" t="n"/>
      <c r="E82" s="9" t="n"/>
      <c r="F82" s="9" t="n"/>
      <c r="G82" s="9" t="n"/>
      <c r="H82" s="9" t="n"/>
    </row>
    <row r="83" ht="16" customHeight="1">
      <c r="B83" s="9" t="n"/>
      <c r="C83" s="9" t="n"/>
      <c r="D83" s="9" t="n"/>
      <c r="E83" s="9" t="n"/>
      <c r="F83" s="9" t="n"/>
      <c r="G83" s="9" t="n"/>
      <c r="H83" s="9" t="n"/>
    </row>
    <row r="84">
      <c r="B84" s="10" t="inlineStr">
        <is>
          <t>[ + Add ]</t>
        </is>
      </c>
      <c r="C84" s="11" t="n"/>
      <c r="D84" s="10" t="inlineStr">
        <is>
          <t>[ Browse ]</t>
        </is>
      </c>
      <c r="E84" s="11" t="n"/>
    </row>
  </sheetData>
  <mergeCells count="29">
    <mergeCell ref="B54:C54"/>
    <mergeCell ref="B66:F66"/>
    <mergeCell ref="B6:H6"/>
    <mergeCell ref="D84:E84"/>
    <mergeCell ref="B31:C31"/>
    <mergeCell ref="B76:H76"/>
    <mergeCell ref="B17:C17"/>
    <mergeCell ref="D17:E17"/>
    <mergeCell ref="F17:G17"/>
    <mergeCell ref="B1:L1"/>
    <mergeCell ref="H17:I17"/>
    <mergeCell ref="B44:C44"/>
    <mergeCell ref="B36:G36"/>
    <mergeCell ref="B34:C34"/>
    <mergeCell ref="B19:L19"/>
    <mergeCell ref="B84:C84"/>
    <mergeCell ref="B74:C74"/>
    <mergeCell ref="B30:C30"/>
    <mergeCell ref="D74:E74"/>
    <mergeCell ref="B64:C64"/>
    <mergeCell ref="B46:G46"/>
    <mergeCell ref="B33:C33"/>
    <mergeCell ref="D64:E64"/>
    <mergeCell ref="B32:C32"/>
    <mergeCell ref="B29:H29"/>
    <mergeCell ref="D54:E54"/>
    <mergeCell ref="B56:G56"/>
    <mergeCell ref="D44:E44"/>
    <mergeCell ref="J17:K17"/>
  </mergeCells>
  <dataValidations count="3">
    <dataValidation sqref="B21:B26" showDropDown="0" showInputMessage="0" showErrorMessage="0" allowBlank="1" type="list">
      <formula1>=List_YesNo</formula1>
    </dataValidation>
    <dataValidation sqref="E21:E26" showDropDown="0" showInputMessage="0" showErrorMessage="0" allowBlank="1" type="list">
      <formula1>=List_InletSO3Source</formula1>
    </dataValidation>
    <dataValidation sqref="G21:G26" showDropDown="0" showInputMessage="0" showErrorMessage="0" allowBlank="1" type="list">
      <formula1>=List_SO2Source</formula1>
    </dataValidation>
  </dataValidations>
  <pageMargins left="0.75" right="0.75" top="1" bottom="1" header="0.5" footer="0.5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B1:K16"/>
  <sheetViews>
    <sheetView showGridLines="0" workbookViewId="0">
      <pane xSplit="1" ySplit="1" topLeftCell="B2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2" customWidth="1" min="1" max="1"/>
    <col width="12" customWidth="1" min="2" max="2"/>
    <col width="12" customWidth="1" min="3" max="3"/>
    <col width="12" customWidth="1" min="4" max="4"/>
    <col width="12" customWidth="1" min="5" max="5"/>
    <col width="12" customWidth="1" min="6" max="6"/>
    <col width="12" customWidth="1" min="7" max="7"/>
    <col width="14" customWidth="1" min="8" max="8"/>
    <col width="14" customWidth="1" min="9" max="9"/>
    <col width="14" customWidth="1" min="10" max="10"/>
    <col width="14" customWidth="1" min="11" max="11"/>
  </cols>
  <sheetData>
    <row r="1" ht="24" customHeight="1">
      <c r="B1" s="1" t="inlineStr">
        <is>
          <t>Differential Pressure</t>
        </is>
      </c>
      <c r="C1" s="2" t="n"/>
      <c r="D1" s="2" t="n"/>
      <c r="E1" s="2" t="n"/>
      <c r="F1" s="2" t="n"/>
      <c r="G1" s="2" t="n"/>
      <c r="H1" s="2" t="n"/>
      <c r="I1" s="2" t="n"/>
      <c r="J1" s="2" t="n"/>
      <c r="K1" s="2" t="n"/>
    </row>
    <row r="3" ht="16" customHeight="1">
      <c r="B3" s="15" t="inlineStr">
        <is>
          <t>Test ID:</t>
        </is>
      </c>
      <c r="C3" s="9">
        <f>Ctrl_TestID</f>
        <v/>
      </c>
      <c r="D3" s="15" t="inlineStr">
        <is>
          <t>Check 1:</t>
        </is>
      </c>
      <c r="E3" s="9">
        <f>Ctrl_Verified1By</f>
        <v/>
      </c>
      <c r="F3" s="15" t="inlineStr">
        <is>
          <t>Check 2:</t>
        </is>
      </c>
      <c r="G3" s="9">
        <f>Ctrl_Verified2By</f>
        <v/>
      </c>
    </row>
    <row r="5" ht="24" customHeight="1">
      <c r="B5" s="3" t="inlineStr">
        <is>
          <t>DP Measurements</t>
        </is>
      </c>
      <c r="C5" s="4" t="n"/>
      <c r="D5" s="4" t="n"/>
      <c r="E5" s="4" t="n"/>
      <c r="F5" s="4" t="n"/>
      <c r="G5" s="4" t="n"/>
      <c r="H5" s="4" t="n"/>
      <c r="I5" s="4" t="n"/>
      <c r="J5" s="4" t="n"/>
      <c r="K5" s="4" t="n"/>
    </row>
    <row r="6" ht="20" customHeight="1">
      <c r="B6" s="8" t="inlineStr">
        <is>
          <t>RecordID</t>
        </is>
      </c>
      <c r="C6" s="8" t="inlineStr">
        <is>
          <t>Test Type</t>
        </is>
      </c>
      <c r="D6" s="8" t="inlineStr">
        <is>
          <t>DP@S2</t>
        </is>
      </c>
      <c r="E6" s="8" t="inlineStr">
        <is>
          <t>DP@S3</t>
        </is>
      </c>
      <c r="F6" s="8" t="inlineStr">
        <is>
          <t>DP@S4</t>
        </is>
      </c>
      <c r="G6" s="8" t="inlineStr">
        <is>
          <t>DP@S5</t>
        </is>
      </c>
      <c r="H6" s="8" t="inlineStr">
        <is>
          <t>DP Total</t>
        </is>
      </c>
      <c r="I6" s="8" t="inlineStr">
        <is>
          <t>Theory DP</t>
        </is>
      </c>
      <c r="J6" s="8" t="inlineStr">
        <is>
          <t>% Theory</t>
        </is>
      </c>
      <c r="K6" s="8" t="inlineStr">
        <is>
          <t>Status</t>
        </is>
      </c>
    </row>
    <row r="7" ht="16" customHeight="1">
      <c r="B7" s="9" t="n"/>
      <c r="C7" s="9" t="n"/>
      <c r="D7" s="9" t="n"/>
      <c r="E7" s="9" t="n"/>
      <c r="F7" s="9" t="n"/>
      <c r="G7" s="9" t="n"/>
      <c r="H7" s="9" t="n"/>
      <c r="I7" s="9" t="n"/>
      <c r="J7" s="9" t="n"/>
      <c r="K7" s="9" t="n"/>
    </row>
    <row r="8" ht="16" customHeight="1">
      <c r="B8" s="9" t="n"/>
      <c r="C8" s="9" t="n"/>
      <c r="D8" s="9" t="n"/>
      <c r="E8" s="9" t="n"/>
      <c r="F8" s="9" t="n"/>
      <c r="G8" s="9" t="n"/>
      <c r="H8" s="9" t="n"/>
      <c r="I8" s="9" t="n"/>
      <c r="J8" s="9" t="n"/>
      <c r="K8" s="9" t="n"/>
    </row>
    <row r="9" ht="16" customHeight="1">
      <c r="B9" s="9" t="n"/>
      <c r="C9" s="9" t="n"/>
      <c r="D9" s="9" t="n"/>
      <c r="E9" s="9" t="n"/>
      <c r="F9" s="9" t="n"/>
      <c r="G9" s="9" t="n"/>
      <c r="H9" s="9" t="n"/>
      <c r="I9" s="9" t="n"/>
      <c r="J9" s="9" t="n"/>
      <c r="K9" s="9" t="n"/>
    </row>
    <row r="10" ht="16" customHeight="1">
      <c r="B10" s="9" t="n"/>
      <c r="C10" s="9" t="n"/>
      <c r="D10" s="9" t="n"/>
      <c r="E10" s="9" t="n"/>
      <c r="F10" s="9" t="n"/>
      <c r="G10" s="9" t="n"/>
      <c r="H10" s="9" t="n"/>
      <c r="I10" s="9" t="n"/>
      <c r="J10" s="9" t="n"/>
      <c r="K10" s="9" t="n"/>
    </row>
    <row r="11" ht="16" customHeight="1">
      <c r="B11" s="9" t="n"/>
      <c r="C11" s="9" t="n"/>
      <c r="D11" s="9" t="n"/>
      <c r="E11" s="9" t="n"/>
      <c r="F11" s="9" t="n"/>
      <c r="G11" s="9" t="n"/>
      <c r="H11" s="9" t="n"/>
      <c r="I11" s="9" t="n"/>
      <c r="J11" s="9" t="n"/>
      <c r="K11" s="9" t="n"/>
    </row>
    <row r="12" ht="16" customHeight="1">
      <c r="B12" s="9" t="n"/>
      <c r="C12" s="9" t="n"/>
      <c r="D12" s="9" t="n"/>
      <c r="E12" s="9" t="n"/>
      <c r="F12" s="9" t="n"/>
      <c r="G12" s="9" t="n"/>
      <c r="H12" s="9" t="n"/>
      <c r="I12" s="9" t="n"/>
      <c r="J12" s="9" t="n"/>
      <c r="K12" s="9" t="n"/>
    </row>
    <row r="14">
      <c r="B14" s="10" t="inlineStr">
        <is>
          <t>[ Log DP ]</t>
        </is>
      </c>
      <c r="C14" s="11" t="n"/>
      <c r="D14" s="11" t="n"/>
    </row>
    <row r="16">
      <c r="B16" s="10" t="inlineStr">
        <is>
          <t>[ Back to Home ]</t>
        </is>
      </c>
      <c r="C16" s="11" t="n"/>
      <c r="D16" s="11" t="n"/>
    </row>
  </sheetData>
  <mergeCells count="4">
    <mergeCell ref="B16:D16"/>
    <mergeCell ref="B14:D14"/>
    <mergeCell ref="B1:K1"/>
    <mergeCell ref="B5:K5"/>
  </mergeCells>
  <pageMargins left="0.75" right="0.75" top="1" bottom="1" header="0.5" footer="0.5"/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U2"/>
  <sheetViews>
    <sheetView workbookViewId="0">
      <selection activeCell="A1" sqref="A1"/>
    </sheetView>
  </sheetViews>
  <sheetFormatPr baseColWidth="8" defaultRowHeight="15"/>
  <cols>
    <col width="16" customWidth="1" min="1" max="1"/>
    <col width="16" customWidth="1" min="2" max="2"/>
    <col width="16" customWidth="1" min="3" max="3"/>
    <col width="16" customWidth="1" min="4" max="4"/>
    <col width="16" customWidth="1" min="5" max="5"/>
    <col width="16" customWidth="1" min="6" max="6"/>
    <col width="16" customWidth="1" min="7" max="7"/>
    <col width="16" customWidth="1" min="8" max="8"/>
    <col width="16" customWidth="1" min="9" max="9"/>
    <col width="16" customWidth="1" min="10" max="10"/>
    <col width="16" customWidth="1" min="11" max="11"/>
    <col width="16" customWidth="1" min="12" max="12"/>
    <col width="16" customWidth="1" min="13" max="13"/>
    <col width="16" customWidth="1" min="14" max="14"/>
    <col width="16" customWidth="1" min="15" max="15"/>
    <col width="16" customWidth="1" min="16" max="16"/>
    <col width="16" customWidth="1" min="17" max="17"/>
    <col width="16" customWidth="1" min="18" max="18"/>
    <col width="16" customWidth="1" min="19" max="19"/>
    <col width="16" customWidth="1" min="20" max="20"/>
    <col width="16" customWidth="1" min="21" max="21"/>
  </cols>
  <sheetData>
    <row r="1" ht="20" customHeight="1">
      <c r="A1" s="8" t="inlineStr">
        <is>
          <t>RecordID</t>
        </is>
      </c>
      <c r="B1" s="8" t="inlineStr">
        <is>
          <t>TestID</t>
        </is>
      </c>
      <c r="C1" s="8" t="inlineStr">
        <is>
          <t>EntryType</t>
        </is>
      </c>
      <c r="D1" s="8" t="inlineStr">
        <is>
          <t>DateEntered</t>
        </is>
      </c>
      <c r="E1" s="8" t="inlineStr">
        <is>
          <t>TimeEntered</t>
        </is>
      </c>
      <c r="F1" s="8" t="inlineStr">
        <is>
          <t>EnteredBy</t>
        </is>
      </c>
      <c r="G1" s="8" t="inlineStr">
        <is>
          <t>LastModifiedDate</t>
        </is>
      </c>
      <c r="H1" s="8" t="inlineStr">
        <is>
          <t>LastModifiedTime</t>
        </is>
      </c>
      <c r="I1" s="8" t="inlineStr">
        <is>
          <t>LastModifiedBy</t>
        </is>
      </c>
      <c r="J1" s="8" t="inlineStr">
        <is>
          <t>Excluded</t>
        </is>
      </c>
      <c r="K1" s="8" t="inlineStr">
        <is>
          <t>ExcludeReason</t>
        </is>
      </c>
      <c r="L1" s="8" t="inlineStr">
        <is>
          <t>Notes</t>
        </is>
      </c>
      <c r="M1" s="8" t="inlineStr">
        <is>
          <t>TestType</t>
        </is>
      </c>
      <c r="N1" s="8" t="inlineStr">
        <is>
          <t>SamplePoint</t>
        </is>
      </c>
      <c r="O1" s="8" t="inlineStr">
        <is>
          <t>Analyzer</t>
        </is>
      </c>
      <c r="P1" s="8" t="inlineStr">
        <is>
          <t>FTIR_NO_Wet</t>
        </is>
      </c>
      <c r="Q1" s="8" t="inlineStr">
        <is>
          <t>FTIR_NO2_Wet</t>
        </is>
      </c>
      <c r="R1" s="8" t="inlineStr">
        <is>
          <t>FTIR_H2O_Pct</t>
        </is>
      </c>
      <c r="S1" s="8" t="inlineStr">
        <is>
          <t>NOxAn_NO_Dry</t>
        </is>
      </c>
      <c r="T1" s="8" t="inlineStr">
        <is>
          <t>NOxAn_NO2_Dry</t>
        </is>
      </c>
      <c r="U1" s="8" t="inlineStr">
        <is>
          <t>DryNOxUsed</t>
        </is>
      </c>
    </row>
    <row r="2">
      <c r="A2" s="19" t="n"/>
      <c r="B2" s="19" t="n"/>
      <c r="C2" s="19" t="n"/>
      <c r="D2" s="19" t="n"/>
      <c r="E2" s="19" t="n"/>
      <c r="F2" s="19" t="n"/>
      <c r="G2" s="19" t="n"/>
      <c r="H2" s="19" t="n"/>
      <c r="I2" s="19" t="n"/>
      <c r="J2" s="19" t="n"/>
      <c r="K2" s="19" t="n"/>
      <c r="L2" s="19" t="n"/>
      <c r="M2" s="19" t="n"/>
      <c r="N2" s="19" t="n"/>
      <c r="O2" s="19" t="n"/>
      <c r="P2" s="19" t="n"/>
      <c r="Q2" s="19" t="n"/>
      <c r="R2" s="19" t="n"/>
      <c r="S2" s="19" t="n"/>
      <c r="T2" s="19" t="n"/>
      <c r="U2" s="19" t="n"/>
    </row>
  </sheetData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11.xml><?xml version="1.0" encoding="utf-8"?>
<worksheet xmlns="http://schemas.openxmlformats.org/spreadsheetml/2006/main">
  <sheetPr>
    <outlinePr summaryBelow="1" summaryRight="1"/>
    <pageSetUpPr/>
  </sheetPr>
  <dimension ref="A1:W2"/>
  <sheetViews>
    <sheetView workbookViewId="0">
      <selection activeCell="A1" sqref="A1"/>
    </sheetView>
  </sheetViews>
  <sheetFormatPr baseColWidth="8" defaultRowHeight="15"/>
  <cols>
    <col width="16" customWidth="1" min="1" max="1"/>
    <col width="16" customWidth="1" min="2" max="2"/>
    <col width="16" customWidth="1" min="3" max="3"/>
    <col width="16" customWidth="1" min="4" max="4"/>
    <col width="16" customWidth="1" min="5" max="5"/>
    <col width="16" customWidth="1" min="6" max="6"/>
    <col width="16" customWidth="1" min="7" max="7"/>
    <col width="16" customWidth="1" min="8" max="8"/>
    <col width="16" customWidth="1" min="9" max="9"/>
    <col width="16" customWidth="1" min="10" max="10"/>
    <col width="16" customWidth="1" min="11" max="11"/>
    <col width="16" customWidth="1" min="12" max="12"/>
    <col width="16" customWidth="1" min="13" max="13"/>
    <col width="16" customWidth="1" min="14" max="14"/>
    <col width="16" customWidth="1" min="15" max="15"/>
    <col width="16" customWidth="1" min="16" max="16"/>
    <col width="16" customWidth="1" min="17" max="17"/>
    <col width="16" customWidth="1" min="18" max="18"/>
    <col width="16" customWidth="1" min="19" max="19"/>
    <col width="16" customWidth="1" min="20" max="20"/>
    <col width="16" customWidth="1" min="21" max="21"/>
    <col width="16" customWidth="1" min="22" max="22"/>
    <col width="16" customWidth="1" min="23" max="23"/>
  </cols>
  <sheetData>
    <row r="1" ht="20" customHeight="1">
      <c r="A1" s="8" t="inlineStr">
        <is>
          <t>RecordID</t>
        </is>
      </c>
      <c r="B1" s="8" t="inlineStr">
        <is>
          <t>TestID</t>
        </is>
      </c>
      <c r="C1" s="8" t="inlineStr">
        <is>
          <t>EntryType</t>
        </is>
      </c>
      <c r="D1" s="8" t="inlineStr">
        <is>
          <t>DateEntered</t>
        </is>
      </c>
      <c r="E1" s="8" t="inlineStr">
        <is>
          <t>TimeEntered</t>
        </is>
      </c>
      <c r="F1" s="8" t="inlineStr">
        <is>
          <t>EnteredBy</t>
        </is>
      </c>
      <c r="G1" s="8" t="inlineStr">
        <is>
          <t>LastModifiedDate</t>
        </is>
      </c>
      <c r="H1" s="8" t="inlineStr">
        <is>
          <t>LastModifiedTime</t>
        </is>
      </c>
      <c r="I1" s="8" t="inlineStr">
        <is>
          <t>LastModifiedBy</t>
        </is>
      </c>
      <c r="J1" s="8" t="inlineStr">
        <is>
          <t>Excluded</t>
        </is>
      </c>
      <c r="K1" s="8" t="inlineStr">
        <is>
          <t>ExcludeReason</t>
        </is>
      </c>
      <c r="L1" s="8" t="inlineStr">
        <is>
          <t>Notes</t>
        </is>
      </c>
      <c r="M1" s="8" t="inlineStr">
        <is>
          <t>TestType</t>
        </is>
      </c>
      <c r="N1" s="8" t="inlineStr">
        <is>
          <t>SamplePoint</t>
        </is>
      </c>
      <c r="O1" s="8" t="inlineStr">
        <is>
          <t>Method</t>
        </is>
      </c>
      <c r="P1" s="8" t="inlineStr">
        <is>
          <t>FTIR_NH3_Wet</t>
        </is>
      </c>
      <c r="Q1" s="8" t="inlineStr">
        <is>
          <t>FTIR_H2O_Pct</t>
        </is>
      </c>
      <c r="R1" s="8" t="inlineStr">
        <is>
          <t>IC_Result</t>
        </is>
      </c>
      <c r="S1" s="8" t="inlineStr">
        <is>
          <t>Dilution</t>
        </is>
      </c>
      <c r="T1" s="8" t="inlineStr">
        <is>
          <t>MeterVol_L</t>
        </is>
      </c>
      <c r="U1" s="8" t="inlineStr">
        <is>
          <t>MeterTemp_C</t>
        </is>
      </c>
      <c r="V1" s="8" t="inlineStr">
        <is>
          <t>BaroP_mmHg</t>
        </is>
      </c>
      <c r="W1" s="8" t="inlineStr">
        <is>
          <t>DryNH3</t>
        </is>
      </c>
    </row>
    <row r="2">
      <c r="A2" s="19" t="n"/>
      <c r="B2" s="19" t="n"/>
      <c r="C2" s="19" t="n"/>
      <c r="D2" s="19" t="n"/>
      <c r="E2" s="19" t="n"/>
      <c r="F2" s="19" t="n"/>
      <c r="G2" s="19" t="n"/>
      <c r="H2" s="19" t="n"/>
      <c r="I2" s="19" t="n"/>
      <c r="J2" s="19" t="n"/>
      <c r="K2" s="19" t="n"/>
      <c r="L2" s="19" t="n"/>
      <c r="M2" s="19" t="n"/>
      <c r="N2" s="19" t="n"/>
      <c r="O2" s="19" t="n"/>
      <c r="P2" s="19" t="n"/>
      <c r="Q2" s="19" t="n"/>
      <c r="R2" s="19" t="n"/>
      <c r="S2" s="19" t="n"/>
      <c r="T2" s="19" t="n"/>
      <c r="U2" s="19" t="n"/>
      <c r="V2" s="19" t="n"/>
      <c r="W2" s="19" t="n"/>
    </row>
  </sheetData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12.xml><?xml version="1.0" encoding="utf-8"?>
<worksheet xmlns="http://schemas.openxmlformats.org/spreadsheetml/2006/main">
  <sheetPr>
    <outlinePr summaryBelow="1" summaryRight="1"/>
    <pageSetUpPr/>
  </sheetPr>
  <dimension ref="A1:W2"/>
  <sheetViews>
    <sheetView workbookViewId="0">
      <selection activeCell="A1" sqref="A1"/>
    </sheetView>
  </sheetViews>
  <sheetFormatPr baseColWidth="8" defaultRowHeight="15"/>
  <cols>
    <col width="16" customWidth="1" min="1" max="1"/>
    <col width="16" customWidth="1" min="2" max="2"/>
    <col width="16" customWidth="1" min="3" max="3"/>
    <col width="16" customWidth="1" min="4" max="4"/>
    <col width="16" customWidth="1" min="5" max="5"/>
    <col width="16" customWidth="1" min="6" max="6"/>
    <col width="16" customWidth="1" min="7" max="7"/>
    <col width="16" customWidth="1" min="8" max="8"/>
    <col width="16" customWidth="1" min="9" max="9"/>
    <col width="16" customWidth="1" min="10" max="10"/>
    <col width="16" customWidth="1" min="11" max="11"/>
    <col width="16" customWidth="1" min="12" max="12"/>
    <col width="16" customWidth="1" min="13" max="13"/>
    <col width="16" customWidth="1" min="14" max="14"/>
    <col width="16" customWidth="1" min="15" max="15"/>
    <col width="16" customWidth="1" min="16" max="16"/>
    <col width="16" customWidth="1" min="17" max="17"/>
    <col width="16" customWidth="1" min="18" max="18"/>
    <col width="16" customWidth="1" min="19" max="19"/>
    <col width="16" customWidth="1" min="20" max="20"/>
    <col width="16" customWidth="1" min="21" max="21"/>
    <col width="16" customWidth="1" min="22" max="22"/>
    <col width="16" customWidth="1" min="23" max="23"/>
  </cols>
  <sheetData>
    <row r="1" ht="20" customHeight="1">
      <c r="A1" s="8" t="inlineStr">
        <is>
          <t>RecordID</t>
        </is>
      </c>
      <c r="B1" s="8" t="inlineStr">
        <is>
          <t>TestID</t>
        </is>
      </c>
      <c r="C1" s="8" t="inlineStr">
        <is>
          <t>EntryType</t>
        </is>
      </c>
      <c r="D1" s="8" t="inlineStr">
        <is>
          <t>DateEntered</t>
        </is>
      </c>
      <c r="E1" s="8" t="inlineStr">
        <is>
          <t>TimeEntered</t>
        </is>
      </c>
      <c r="F1" s="8" t="inlineStr">
        <is>
          <t>EnteredBy</t>
        </is>
      </c>
      <c r="G1" s="8" t="inlineStr">
        <is>
          <t>LastModifiedDate</t>
        </is>
      </c>
      <c r="H1" s="8" t="inlineStr">
        <is>
          <t>LastModifiedTime</t>
        </is>
      </c>
      <c r="I1" s="8" t="inlineStr">
        <is>
          <t>LastModifiedBy</t>
        </is>
      </c>
      <c r="J1" s="8" t="inlineStr">
        <is>
          <t>Excluded</t>
        </is>
      </c>
      <c r="K1" s="8" t="inlineStr">
        <is>
          <t>ExcludeReason</t>
        </is>
      </c>
      <c r="L1" s="8" t="inlineStr">
        <is>
          <t>Notes</t>
        </is>
      </c>
      <c r="M1" s="8" t="inlineStr">
        <is>
          <t>TestType</t>
        </is>
      </c>
      <c r="N1" s="8" t="inlineStr">
        <is>
          <t>Stage</t>
        </is>
      </c>
      <c r="O1" s="8" t="inlineStr">
        <is>
          <t>Method</t>
        </is>
      </c>
      <c r="P1" s="8" t="inlineStr">
        <is>
          <t>FTIR_SO2_Wet</t>
        </is>
      </c>
      <c r="Q1" s="8" t="inlineStr">
        <is>
          <t>FTIR_H2O_Pct</t>
        </is>
      </c>
      <c r="R1" s="8" t="inlineStr">
        <is>
          <t>IC_Result</t>
        </is>
      </c>
      <c r="S1" s="8" t="inlineStr">
        <is>
          <t>Dilution</t>
        </is>
      </c>
      <c r="T1" s="8" t="inlineStr">
        <is>
          <t>MeterVol_L</t>
        </is>
      </c>
      <c r="U1" s="8" t="inlineStr">
        <is>
          <t>MeterTemp_C</t>
        </is>
      </c>
      <c r="V1" s="8" t="inlineStr">
        <is>
          <t>BaroP_mmHg</t>
        </is>
      </c>
      <c r="W1" s="8" t="inlineStr">
        <is>
          <t>DrySO2</t>
        </is>
      </c>
    </row>
    <row r="2">
      <c r="A2" s="19" t="n"/>
      <c r="B2" s="19" t="n"/>
      <c r="C2" s="19" t="n"/>
      <c r="D2" s="19" t="n"/>
      <c r="E2" s="19" t="n"/>
      <c r="F2" s="19" t="n"/>
      <c r="G2" s="19" t="n"/>
      <c r="H2" s="19" t="n"/>
      <c r="I2" s="19" t="n"/>
      <c r="J2" s="19" t="n"/>
      <c r="K2" s="19" t="n"/>
      <c r="L2" s="19" t="n"/>
      <c r="M2" s="19" t="n"/>
      <c r="N2" s="19" t="n"/>
      <c r="O2" s="19" t="n"/>
      <c r="P2" s="19" t="n"/>
      <c r="Q2" s="19" t="n"/>
      <c r="R2" s="19" t="n"/>
      <c r="S2" s="19" t="n"/>
      <c r="T2" s="19" t="n"/>
      <c r="U2" s="19" t="n"/>
      <c r="V2" s="19" t="n"/>
      <c r="W2" s="19" t="n"/>
    </row>
  </sheetData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13.xml><?xml version="1.0" encoding="utf-8"?>
<worksheet xmlns="http://schemas.openxmlformats.org/spreadsheetml/2006/main">
  <sheetPr>
    <outlinePr summaryBelow="1" summaryRight="1"/>
    <pageSetUpPr/>
  </sheetPr>
  <dimension ref="A1:W2"/>
  <sheetViews>
    <sheetView workbookViewId="0">
      <selection activeCell="A1" sqref="A1"/>
    </sheetView>
  </sheetViews>
  <sheetFormatPr baseColWidth="8" defaultRowHeight="15"/>
  <cols>
    <col width="16" customWidth="1" min="1" max="1"/>
    <col width="16" customWidth="1" min="2" max="2"/>
    <col width="16" customWidth="1" min="3" max="3"/>
    <col width="16" customWidth="1" min="4" max="4"/>
    <col width="16" customWidth="1" min="5" max="5"/>
    <col width="16" customWidth="1" min="6" max="6"/>
    <col width="16" customWidth="1" min="7" max="7"/>
    <col width="16" customWidth="1" min="8" max="8"/>
    <col width="16" customWidth="1" min="9" max="9"/>
    <col width="16" customWidth="1" min="10" max="10"/>
    <col width="16" customWidth="1" min="11" max="11"/>
    <col width="16" customWidth="1" min="12" max="12"/>
    <col width="16" customWidth="1" min="13" max="13"/>
    <col width="16" customWidth="1" min="14" max="14"/>
    <col width="16" customWidth="1" min="15" max="15"/>
    <col width="16" customWidth="1" min="16" max="16"/>
    <col width="16" customWidth="1" min="17" max="17"/>
    <col width="16" customWidth="1" min="18" max="18"/>
    <col width="16" customWidth="1" min="19" max="19"/>
    <col width="16" customWidth="1" min="20" max="20"/>
    <col width="16" customWidth="1" min="21" max="21"/>
    <col width="16" customWidth="1" min="22" max="22"/>
    <col width="16" customWidth="1" min="23" max="23"/>
  </cols>
  <sheetData>
    <row r="1" ht="20" customHeight="1">
      <c r="A1" s="8" t="inlineStr">
        <is>
          <t>RecordID</t>
        </is>
      </c>
      <c r="B1" s="8" t="inlineStr">
        <is>
          <t>TestID</t>
        </is>
      </c>
      <c r="C1" s="8" t="inlineStr">
        <is>
          <t>EntryType</t>
        </is>
      </c>
      <c r="D1" s="8" t="inlineStr">
        <is>
          <t>DateEntered</t>
        </is>
      </c>
      <c r="E1" s="8" t="inlineStr">
        <is>
          <t>TimeEntered</t>
        </is>
      </c>
      <c r="F1" s="8" t="inlineStr">
        <is>
          <t>EnteredBy</t>
        </is>
      </c>
      <c r="G1" s="8" t="inlineStr">
        <is>
          <t>LastModifiedDate</t>
        </is>
      </c>
      <c r="H1" s="8" t="inlineStr">
        <is>
          <t>LastModifiedTime</t>
        </is>
      </c>
      <c r="I1" s="8" t="inlineStr">
        <is>
          <t>LastModifiedBy</t>
        </is>
      </c>
      <c r="J1" s="8" t="inlineStr">
        <is>
          <t>Excluded</t>
        </is>
      </c>
      <c r="K1" s="8" t="inlineStr">
        <is>
          <t>ExcludeReason</t>
        </is>
      </c>
      <c r="L1" s="8" t="inlineStr">
        <is>
          <t>Notes</t>
        </is>
      </c>
      <c r="M1" s="8" t="inlineStr">
        <is>
          <t>TestType</t>
        </is>
      </c>
      <c r="N1" s="8" t="inlineStr">
        <is>
          <t>SamplePoint</t>
        </is>
      </c>
      <c r="O1" s="8" t="inlineStr">
        <is>
          <t>PullVol_L</t>
        </is>
      </c>
      <c r="P1" s="8" t="inlineStr">
        <is>
          <t>IC_Result</t>
        </is>
      </c>
      <c r="Q1" s="8" t="inlineStr">
        <is>
          <t>Dilution</t>
        </is>
      </c>
      <c r="R1" s="8" t="inlineStr">
        <is>
          <t>MeterTemp_C</t>
        </is>
      </c>
      <c r="S1" s="8" t="inlineStr">
        <is>
          <t>RoomP_mmHg</t>
        </is>
      </c>
      <c r="T1" s="8" t="inlineStr">
        <is>
          <t>CorrectedGasVol</t>
        </is>
      </c>
      <c r="U1" s="8" t="inlineStr">
        <is>
          <t>DryMoles</t>
        </is>
      </c>
      <c r="V1" s="8" t="inlineStr">
        <is>
          <t>SO3Moles</t>
        </is>
      </c>
      <c r="W1" s="8" t="inlineStr">
        <is>
          <t>DrySO3</t>
        </is>
      </c>
    </row>
    <row r="2">
      <c r="A2" s="19" t="n"/>
      <c r="B2" s="19" t="n"/>
      <c r="C2" s="19" t="n"/>
      <c r="D2" s="19" t="n"/>
      <c r="E2" s="19" t="n"/>
      <c r="F2" s="19" t="n"/>
      <c r="G2" s="19" t="n"/>
      <c r="H2" s="19" t="n"/>
      <c r="I2" s="19" t="n"/>
      <c r="J2" s="19" t="n"/>
      <c r="K2" s="19" t="n"/>
      <c r="L2" s="19" t="n"/>
      <c r="M2" s="19" t="n"/>
      <c r="N2" s="19" t="n"/>
      <c r="O2" s="19" t="n"/>
      <c r="P2" s="19" t="n"/>
      <c r="Q2" s="19" t="n"/>
      <c r="R2" s="19" t="n"/>
      <c r="S2" s="19" t="n"/>
      <c r="T2" s="19" t="n"/>
      <c r="U2" s="19" t="n"/>
      <c r="V2" s="19" t="n"/>
      <c r="W2" s="19" t="n"/>
    </row>
  </sheetData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14.xml><?xml version="1.0" encoding="utf-8"?>
<worksheet xmlns="http://schemas.openxmlformats.org/spreadsheetml/2006/main">
  <sheetPr>
    <outlinePr summaryBelow="1" summaryRight="1"/>
    <pageSetUpPr/>
  </sheetPr>
  <dimension ref="A1:O2"/>
  <sheetViews>
    <sheetView workbookViewId="0">
      <selection activeCell="A1" sqref="A1"/>
    </sheetView>
  </sheetViews>
  <sheetFormatPr baseColWidth="8" defaultRowHeight="15"/>
  <cols>
    <col width="16" customWidth="1" min="1" max="1"/>
    <col width="16" customWidth="1" min="2" max="2"/>
    <col width="16" customWidth="1" min="3" max="3"/>
    <col width="16" customWidth="1" min="4" max="4"/>
    <col width="16" customWidth="1" min="5" max="5"/>
    <col width="16" customWidth="1" min="6" max="6"/>
    <col width="16" customWidth="1" min="7" max="7"/>
    <col width="16" customWidth="1" min="8" max="8"/>
    <col width="16" customWidth="1" min="9" max="9"/>
    <col width="16" customWidth="1" min="10" max="10"/>
    <col width="16" customWidth="1" min="11" max="11"/>
    <col width="16" customWidth="1" min="12" max="12"/>
    <col width="16" customWidth="1" min="13" max="13"/>
    <col width="16" customWidth="1" min="14" max="14"/>
    <col width="16" customWidth="1" min="15" max="15"/>
  </cols>
  <sheetData>
    <row r="1" ht="20" customHeight="1">
      <c r="A1" s="8" t="inlineStr">
        <is>
          <t>RecordID</t>
        </is>
      </c>
      <c r="B1" s="8" t="inlineStr">
        <is>
          <t>TestID</t>
        </is>
      </c>
      <c r="C1" s="8" t="inlineStr">
        <is>
          <t>EntryType</t>
        </is>
      </c>
      <c r="D1" s="8" t="inlineStr">
        <is>
          <t>DateEntered</t>
        </is>
      </c>
      <c r="E1" s="8" t="inlineStr">
        <is>
          <t>TimeEntered</t>
        </is>
      </c>
      <c r="F1" s="8" t="inlineStr">
        <is>
          <t>EnteredBy</t>
        </is>
      </c>
      <c r="G1" s="8" t="inlineStr">
        <is>
          <t>LastModifiedDate</t>
        </is>
      </c>
      <c r="H1" s="8" t="inlineStr">
        <is>
          <t>LastModifiedTime</t>
        </is>
      </c>
      <c r="I1" s="8" t="inlineStr">
        <is>
          <t>LastModifiedBy</t>
        </is>
      </c>
      <c r="J1" s="8" t="inlineStr">
        <is>
          <t>Excluded</t>
        </is>
      </c>
      <c r="K1" s="8" t="inlineStr">
        <is>
          <t>ExcludeReason</t>
        </is>
      </c>
      <c r="L1" s="8" t="inlineStr">
        <is>
          <t>Notes</t>
        </is>
      </c>
      <c r="M1" s="8" t="inlineStr">
        <is>
          <t>TestType</t>
        </is>
      </c>
      <c r="N1" s="8" t="inlineStr">
        <is>
          <t>Context</t>
        </is>
      </c>
      <c r="O1" s="8" t="inlineStr">
        <is>
          <t>Value_C</t>
        </is>
      </c>
    </row>
    <row r="2">
      <c r="A2" s="19" t="n"/>
      <c r="B2" s="19" t="n"/>
      <c r="C2" s="19" t="n"/>
      <c r="D2" s="19" t="n"/>
      <c r="E2" s="19" t="n"/>
      <c r="F2" s="19" t="n"/>
      <c r="G2" s="19" t="n"/>
      <c r="H2" s="19" t="n"/>
      <c r="I2" s="19" t="n"/>
      <c r="J2" s="19" t="n"/>
      <c r="K2" s="19" t="n"/>
      <c r="L2" s="19" t="n"/>
      <c r="M2" s="19" t="n"/>
      <c r="N2" s="19" t="n"/>
      <c r="O2" s="19" t="n"/>
    </row>
  </sheetData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15.xml><?xml version="1.0" encoding="utf-8"?>
<worksheet xmlns="http://schemas.openxmlformats.org/spreadsheetml/2006/main">
  <sheetPr>
    <outlinePr summaryBelow="1" summaryRight="1"/>
    <pageSetUpPr/>
  </sheetPr>
  <dimension ref="A1:O2"/>
  <sheetViews>
    <sheetView workbookViewId="0">
      <selection activeCell="A1" sqref="A1"/>
    </sheetView>
  </sheetViews>
  <sheetFormatPr baseColWidth="8" defaultRowHeight="15"/>
  <cols>
    <col width="16" customWidth="1" min="1" max="1"/>
    <col width="16" customWidth="1" min="2" max="2"/>
    <col width="16" customWidth="1" min="3" max="3"/>
    <col width="16" customWidth="1" min="4" max="4"/>
    <col width="16" customWidth="1" min="5" max="5"/>
    <col width="16" customWidth="1" min="6" max="6"/>
    <col width="16" customWidth="1" min="7" max="7"/>
    <col width="16" customWidth="1" min="8" max="8"/>
    <col width="16" customWidth="1" min="9" max="9"/>
    <col width="16" customWidth="1" min="10" max="10"/>
    <col width="16" customWidth="1" min="11" max="11"/>
    <col width="16" customWidth="1" min="12" max="12"/>
    <col width="16" customWidth="1" min="13" max="13"/>
    <col width="16" customWidth="1" min="14" max="14"/>
    <col width="16" customWidth="1" min="15" max="15"/>
  </cols>
  <sheetData>
    <row r="1" ht="20" customHeight="1">
      <c r="A1" s="8" t="inlineStr">
        <is>
          <t>RecordID</t>
        </is>
      </c>
      <c r="B1" s="8" t="inlineStr">
        <is>
          <t>TestID</t>
        </is>
      </c>
      <c r="C1" s="8" t="inlineStr">
        <is>
          <t>EntryType</t>
        </is>
      </c>
      <c r="D1" s="8" t="inlineStr">
        <is>
          <t>DateEntered</t>
        </is>
      </c>
      <c r="E1" s="8" t="inlineStr">
        <is>
          <t>TimeEntered</t>
        </is>
      </c>
      <c r="F1" s="8" t="inlineStr">
        <is>
          <t>EnteredBy</t>
        </is>
      </c>
      <c r="G1" s="8" t="inlineStr">
        <is>
          <t>LastModifiedDate</t>
        </is>
      </c>
      <c r="H1" s="8" t="inlineStr">
        <is>
          <t>LastModifiedTime</t>
        </is>
      </c>
      <c r="I1" s="8" t="inlineStr">
        <is>
          <t>LastModifiedBy</t>
        </is>
      </c>
      <c r="J1" s="8" t="inlineStr">
        <is>
          <t>Excluded</t>
        </is>
      </c>
      <c r="K1" s="8" t="inlineStr">
        <is>
          <t>ExcludeReason</t>
        </is>
      </c>
      <c r="L1" s="8" t="inlineStr">
        <is>
          <t>Notes</t>
        </is>
      </c>
      <c r="M1" s="8" t="inlineStr">
        <is>
          <t>TestType</t>
        </is>
      </c>
      <c r="N1" s="8" t="inlineStr">
        <is>
          <t>Context</t>
        </is>
      </c>
      <c r="O1" s="8" t="inlineStr">
        <is>
          <t>Value_scfm</t>
        </is>
      </c>
    </row>
    <row r="2">
      <c r="A2" s="19" t="n"/>
      <c r="B2" s="19" t="n"/>
      <c r="C2" s="19" t="n"/>
      <c r="D2" s="19" t="n"/>
      <c r="E2" s="19" t="n"/>
      <c r="F2" s="19" t="n"/>
      <c r="G2" s="19" t="n"/>
      <c r="H2" s="19" t="n"/>
      <c r="I2" s="19" t="n"/>
      <c r="J2" s="19" t="n"/>
      <c r="K2" s="19" t="n"/>
      <c r="L2" s="19" t="n"/>
      <c r="M2" s="19" t="n"/>
      <c r="N2" s="19" t="n"/>
      <c r="O2" s="19" t="n"/>
    </row>
  </sheetData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16.xml><?xml version="1.0" encoding="utf-8"?>
<worksheet xmlns="http://schemas.openxmlformats.org/spreadsheetml/2006/main">
  <sheetPr>
    <outlinePr summaryBelow="1" summaryRight="1"/>
    <pageSetUpPr/>
  </sheetPr>
  <dimension ref="A1:O2"/>
  <sheetViews>
    <sheetView workbookViewId="0">
      <selection activeCell="A1" sqref="A1"/>
    </sheetView>
  </sheetViews>
  <sheetFormatPr baseColWidth="8" defaultRowHeight="15"/>
  <cols>
    <col width="16" customWidth="1" min="1" max="1"/>
    <col width="16" customWidth="1" min="2" max="2"/>
    <col width="16" customWidth="1" min="3" max="3"/>
    <col width="16" customWidth="1" min="4" max="4"/>
    <col width="16" customWidth="1" min="5" max="5"/>
    <col width="16" customWidth="1" min="6" max="6"/>
    <col width="16" customWidth="1" min="7" max="7"/>
    <col width="16" customWidth="1" min="8" max="8"/>
    <col width="16" customWidth="1" min="9" max="9"/>
    <col width="16" customWidth="1" min="10" max="10"/>
    <col width="16" customWidth="1" min="11" max="11"/>
    <col width="16" customWidth="1" min="12" max="12"/>
    <col width="16" customWidth="1" min="13" max="13"/>
    <col width="16" customWidth="1" min="14" max="14"/>
    <col width="16" customWidth="1" min="15" max="15"/>
  </cols>
  <sheetData>
    <row r="1" ht="20" customHeight="1">
      <c r="A1" s="8" t="inlineStr">
        <is>
          <t>RecordID</t>
        </is>
      </c>
      <c r="B1" s="8" t="inlineStr">
        <is>
          <t>TestID</t>
        </is>
      </c>
      <c r="C1" s="8" t="inlineStr">
        <is>
          <t>EntryType</t>
        </is>
      </c>
      <c r="D1" s="8" t="inlineStr">
        <is>
          <t>DateEntered</t>
        </is>
      </c>
      <c r="E1" s="8" t="inlineStr">
        <is>
          <t>TimeEntered</t>
        </is>
      </c>
      <c r="F1" s="8" t="inlineStr">
        <is>
          <t>EnteredBy</t>
        </is>
      </c>
      <c r="G1" s="8" t="inlineStr">
        <is>
          <t>LastModifiedDate</t>
        </is>
      </c>
      <c r="H1" s="8" t="inlineStr">
        <is>
          <t>LastModifiedTime</t>
        </is>
      </c>
      <c r="I1" s="8" t="inlineStr">
        <is>
          <t>LastModifiedBy</t>
        </is>
      </c>
      <c r="J1" s="8" t="inlineStr">
        <is>
          <t>Excluded</t>
        </is>
      </c>
      <c r="K1" s="8" t="inlineStr">
        <is>
          <t>ExcludeReason</t>
        </is>
      </c>
      <c r="L1" s="8" t="inlineStr">
        <is>
          <t>Notes</t>
        </is>
      </c>
      <c r="M1" s="8" t="inlineStr">
        <is>
          <t>TestType</t>
        </is>
      </c>
      <c r="N1" s="8" t="inlineStr">
        <is>
          <t>Context</t>
        </is>
      </c>
      <c r="O1" s="8" t="inlineStr">
        <is>
          <t>Value_Pct</t>
        </is>
      </c>
    </row>
    <row r="2">
      <c r="A2" s="19" t="n"/>
      <c r="B2" s="19" t="n"/>
      <c r="C2" s="19" t="n"/>
      <c r="D2" s="19" t="n"/>
      <c r="E2" s="19" t="n"/>
      <c r="F2" s="19" t="n"/>
      <c r="G2" s="19" t="n"/>
      <c r="H2" s="19" t="n"/>
      <c r="I2" s="19" t="n"/>
      <c r="J2" s="19" t="n"/>
      <c r="K2" s="19" t="n"/>
      <c r="L2" s="19" t="n"/>
      <c r="M2" s="19" t="n"/>
      <c r="N2" s="19" t="n"/>
      <c r="O2" s="19" t="n"/>
    </row>
  </sheetData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17.xml><?xml version="1.0" encoding="utf-8"?>
<worksheet xmlns="http://schemas.openxmlformats.org/spreadsheetml/2006/main">
  <sheetPr>
    <outlinePr summaryBelow="1" summaryRight="1"/>
    <pageSetUpPr/>
  </sheetPr>
  <dimension ref="A1:U2"/>
  <sheetViews>
    <sheetView workbookViewId="0">
      <selection activeCell="A1" sqref="A1"/>
    </sheetView>
  </sheetViews>
  <sheetFormatPr baseColWidth="8" defaultRowHeight="15"/>
  <cols>
    <col width="16" customWidth="1" min="1" max="1"/>
    <col width="16" customWidth="1" min="2" max="2"/>
    <col width="16" customWidth="1" min="3" max="3"/>
    <col width="16" customWidth="1" min="4" max="4"/>
    <col width="16" customWidth="1" min="5" max="5"/>
    <col width="16" customWidth="1" min="6" max="6"/>
    <col width="16" customWidth="1" min="7" max="7"/>
    <col width="16" customWidth="1" min="8" max="8"/>
    <col width="16" customWidth="1" min="9" max="9"/>
    <col width="16" customWidth="1" min="10" max="10"/>
    <col width="16" customWidth="1" min="11" max="11"/>
    <col width="16" customWidth="1" min="12" max="12"/>
    <col width="16" customWidth="1" min="13" max="13"/>
    <col width="16" customWidth="1" min="14" max="14"/>
    <col width="16" customWidth="1" min="15" max="15"/>
    <col width="16" customWidth="1" min="16" max="16"/>
    <col width="16" customWidth="1" min="17" max="17"/>
    <col width="16" customWidth="1" min="18" max="18"/>
    <col width="16" customWidth="1" min="19" max="19"/>
    <col width="16" customWidth="1" min="20" max="20"/>
    <col width="16" customWidth="1" min="21" max="21"/>
  </cols>
  <sheetData>
    <row r="1" ht="20" customHeight="1">
      <c r="A1" s="8" t="inlineStr">
        <is>
          <t>RecordID</t>
        </is>
      </c>
      <c r="B1" s="8" t="inlineStr">
        <is>
          <t>TestID</t>
        </is>
      </c>
      <c r="C1" s="8" t="inlineStr">
        <is>
          <t>EntryType</t>
        </is>
      </c>
      <c r="D1" s="8" t="inlineStr">
        <is>
          <t>DateEntered</t>
        </is>
      </c>
      <c r="E1" s="8" t="inlineStr">
        <is>
          <t>TimeEntered</t>
        </is>
      </c>
      <c r="F1" s="8" t="inlineStr">
        <is>
          <t>EnteredBy</t>
        </is>
      </c>
      <c r="G1" s="8" t="inlineStr">
        <is>
          <t>LastModifiedDate</t>
        </is>
      </c>
      <c r="H1" s="8" t="inlineStr">
        <is>
          <t>LastModifiedTime</t>
        </is>
      </c>
      <c r="I1" s="8" t="inlineStr">
        <is>
          <t>LastModifiedBy</t>
        </is>
      </c>
      <c r="J1" s="8" t="inlineStr">
        <is>
          <t>Excluded</t>
        </is>
      </c>
      <c r="K1" s="8" t="inlineStr">
        <is>
          <t>ExcludeReason</t>
        </is>
      </c>
      <c r="L1" s="8" t="inlineStr">
        <is>
          <t>Notes</t>
        </is>
      </c>
      <c r="M1" s="8" t="inlineStr">
        <is>
          <t>TestType</t>
        </is>
      </c>
      <c r="N1" s="8" t="inlineStr">
        <is>
          <t>DP_S2</t>
        </is>
      </c>
      <c r="O1" s="8" t="inlineStr">
        <is>
          <t>DP_S3</t>
        </is>
      </c>
      <c r="P1" s="8" t="inlineStr">
        <is>
          <t>DP_S4</t>
        </is>
      </c>
      <c r="Q1" s="8" t="inlineStr">
        <is>
          <t>DP_S5</t>
        </is>
      </c>
      <c r="R1" s="8" t="inlineStr">
        <is>
          <t>DPTotal</t>
        </is>
      </c>
      <c r="S1" s="8" t="inlineStr">
        <is>
          <t>TheoryDP</t>
        </is>
      </c>
      <c r="T1" s="8" t="inlineStr">
        <is>
          <t>PctTheory</t>
        </is>
      </c>
      <c r="U1" s="8" t="inlineStr">
        <is>
          <t>Status</t>
        </is>
      </c>
    </row>
    <row r="2">
      <c r="A2" s="19" t="n"/>
      <c r="B2" s="19" t="n"/>
      <c r="C2" s="19" t="n"/>
      <c r="D2" s="19" t="n"/>
      <c r="E2" s="19" t="n"/>
      <c r="F2" s="19" t="n"/>
      <c r="G2" s="19" t="n"/>
      <c r="H2" s="19" t="n"/>
      <c r="I2" s="19" t="n"/>
      <c r="J2" s="19" t="n"/>
      <c r="K2" s="19" t="n"/>
      <c r="L2" s="19" t="n"/>
      <c r="M2" s="19" t="n"/>
      <c r="N2" s="19" t="n"/>
      <c r="O2" s="19" t="n"/>
      <c r="P2" s="19" t="n"/>
      <c r="Q2" s="19" t="n"/>
      <c r="R2" s="19" t="n"/>
      <c r="S2" s="19" t="n"/>
      <c r="T2" s="19" t="n"/>
      <c r="U2" s="19" t="n"/>
    </row>
  </sheetData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18.xml><?xml version="1.0" encoding="utf-8"?>
<worksheet xmlns="http://schemas.openxmlformats.org/spreadsheetml/2006/main">
  <sheetPr>
    <outlinePr summaryBelow="1" summaryRight="1"/>
    <pageSetUpPr/>
  </sheetPr>
  <dimension ref="B1:D77"/>
  <sheetViews>
    <sheetView workbookViewId="0">
      <selection activeCell="A1" sqref="A1"/>
    </sheetView>
  </sheetViews>
  <sheetFormatPr baseColWidth="8" defaultRowHeight="15"/>
  <cols>
    <col width="3" customWidth="1" min="1" max="1"/>
    <col width="30" customWidth="1" min="2" max="2"/>
    <col width="20" customWidth="1" min="3" max="3"/>
    <col width="20" customWidth="1" min="4" max="4"/>
    <col width="3" customWidth="1" min="5" max="5"/>
  </cols>
  <sheetData>
    <row r="1" ht="24" customHeight="1">
      <c r="B1" s="1" t="inlineStr">
        <is>
          <t>Geometry Calc Engine</t>
        </is>
      </c>
      <c r="C1" s="2" t="n"/>
      <c r="D1" s="2" t="n"/>
    </row>
    <row r="3" ht="24" customHeight="1">
      <c r="B3" s="18" t="inlineStr">
        <is>
          <t>Active Geometry / Mode Selection</t>
        </is>
      </c>
      <c r="C3" s="2" t="n"/>
      <c r="D3" s="2" t="n"/>
    </row>
    <row r="8" ht="24" customHeight="1">
      <c r="B8" s="18" t="inlineStr">
        <is>
          <t>Unified Geometry Outputs</t>
        </is>
      </c>
      <c r="C8" s="2" t="n"/>
      <c r="D8" s="2" t="n"/>
    </row>
    <row r="16" ht="24" customHeight="1">
      <c r="B16" s="18" t="inlineStr">
        <is>
          <t>Honeycomb Calculations</t>
        </is>
      </c>
      <c r="C16" s="2" t="n"/>
      <c r="D16" s="2" t="n"/>
    </row>
    <row r="24" ht="24" customHeight="1">
      <c r="B24" s="18" t="inlineStr">
        <is>
          <t>Plate Calculations</t>
        </is>
      </c>
      <c r="C24" s="2" t="n"/>
      <c r="D24" s="2" t="n"/>
    </row>
    <row r="32" ht="24" customHeight="1">
      <c r="B32" s="18" t="inlineStr">
        <is>
          <t>Corrugated Calculations</t>
        </is>
      </c>
      <c r="C32" s="2" t="n"/>
      <c r="D32" s="2" t="n"/>
    </row>
    <row r="40" ht="24" customHeight="1">
      <c r="B40" s="18" t="inlineStr">
        <is>
          <t>Flow Calculations</t>
        </is>
      </c>
      <c r="C40" s="2" t="n"/>
      <c r="D40" s="2" t="n"/>
    </row>
    <row r="50" ht="24" customHeight="1">
      <c r="B50" s="18" t="inlineStr">
        <is>
          <t>Injection Rate Calculations</t>
        </is>
      </c>
      <c r="C50" s="2" t="n"/>
      <c r="D50" s="2" t="n"/>
    </row>
    <row r="60" ht="24" customHeight="1">
      <c r="B60" s="18" t="inlineStr">
        <is>
          <t>Shared Resolved Outputs</t>
        </is>
      </c>
      <c r="C60" s="2" t="n"/>
      <c r="D60" s="2" t="n"/>
    </row>
    <row r="61" ht="16" customHeight="1">
      <c r="B61" s="5" t="inlineStr">
        <is>
          <t>GC_AvgAdjFFA</t>
        </is>
      </c>
      <c r="C61" s="9" t="n"/>
    </row>
    <row r="62" ht="16" customHeight="1">
      <c r="B62" s="5" t="inlineStr">
        <is>
          <t>GC_TotalAdjArea</t>
        </is>
      </c>
      <c r="C62" s="9" t="n"/>
    </row>
    <row r="63" ht="16" customHeight="1">
      <c r="B63" s="5" t="inlineStr">
        <is>
          <t>GC_ActiveLayers</t>
        </is>
      </c>
      <c r="C63" s="9" t="n"/>
    </row>
    <row r="64" ht="16" customHeight="1">
      <c r="B64" s="5" t="inlineStr">
        <is>
          <t>GC_Flow_Act_Nm3h</t>
        </is>
      </c>
      <c r="C64" s="9" t="n"/>
    </row>
    <row r="65" ht="16" customHeight="1">
      <c r="B65" s="5" t="inlineStr">
        <is>
          <t>GC_Flow_Conv_Nm3h</t>
        </is>
      </c>
      <c r="C65" s="9" t="n"/>
    </row>
    <row r="66" ht="16" customHeight="1">
      <c r="B66" s="5" t="inlineStr">
        <is>
          <t>GC_Flow_Act_scfm</t>
        </is>
      </c>
      <c r="C66" s="9" t="n"/>
    </row>
    <row r="67" ht="16" customHeight="1">
      <c r="B67" s="5" t="inlineStr">
        <is>
          <t>GC_Flow_Conv_scfm</t>
        </is>
      </c>
      <c r="C67" s="9" t="n"/>
    </row>
    <row r="68" ht="16" customHeight="1">
      <c r="B68" s="5" t="inlineStr">
        <is>
          <t>GC_AV_Act</t>
        </is>
      </c>
      <c r="C68" s="9" t="n"/>
    </row>
    <row r="69" ht="16" customHeight="1">
      <c r="B69" s="5" t="inlineStr">
        <is>
          <t>GC_AV_Conv</t>
        </is>
      </c>
      <c r="C69" s="9" t="n"/>
    </row>
    <row r="70" ht="16" customHeight="1">
      <c r="B70" s="5" t="inlineStr">
        <is>
          <t>GC_Flow_Act_Status</t>
        </is>
      </c>
      <c r="C70" s="9" t="n"/>
    </row>
    <row r="71" ht="16" customHeight="1">
      <c r="B71" s="5" t="inlineStr">
        <is>
          <t>GC_Flow_Conv_Status</t>
        </is>
      </c>
      <c r="C71" s="9" t="n"/>
    </row>
    <row r="72" ht="16" customHeight="1">
      <c r="B72" s="5" t="inlineStr">
        <is>
          <t>GC_SO3_Inj_Act</t>
        </is>
      </c>
      <c r="C72" s="9" t="n"/>
    </row>
    <row r="73" ht="16" customHeight="1">
      <c r="B73" s="5" t="inlineStr">
        <is>
          <t>GC_SO3_Inj_Conv</t>
        </is>
      </c>
      <c r="C73" s="9" t="n"/>
    </row>
    <row r="74" ht="16" customHeight="1">
      <c r="B74" s="5" t="inlineStr">
        <is>
          <t>GC_NH3_Inj_Act</t>
        </is>
      </c>
      <c r="C74" s="9" t="n"/>
    </row>
    <row r="75" ht="16" customHeight="1">
      <c r="B75" s="5" t="inlineStr">
        <is>
          <t>GC_NH3_Inj_Conv</t>
        </is>
      </c>
      <c r="C75" s="9" t="n"/>
    </row>
    <row r="76" ht="16" customHeight="1">
      <c r="B76" s="5" t="inlineStr">
        <is>
          <t>GC_SO2_Inj_Act</t>
        </is>
      </c>
      <c r="C76" s="9" t="n"/>
    </row>
    <row r="77" ht="16" customHeight="1">
      <c r="B77" s="5" t="inlineStr">
        <is>
          <t>GC_SO2_Inj_Conv</t>
        </is>
      </c>
      <c r="C77" s="9" t="n"/>
    </row>
  </sheetData>
  <mergeCells count="9">
    <mergeCell ref="B3:D3"/>
    <mergeCell ref="B60:D60"/>
    <mergeCell ref="B1:D1"/>
    <mergeCell ref="B8:D8"/>
    <mergeCell ref="B32:D32"/>
    <mergeCell ref="B50:D50"/>
    <mergeCell ref="B40:D40"/>
    <mergeCell ref="B24:D24"/>
    <mergeCell ref="B16:D16"/>
  </mergeCells>
  <pageMargins left="0.75" right="0.75" top="1" bottom="1" header="0.5" footer="0.5"/>
</worksheet>
</file>

<file path=xl/worksheets/sheet19.xml><?xml version="1.0" encoding="utf-8"?>
<worksheet xmlns="http://schemas.openxmlformats.org/spreadsheetml/2006/main">
  <sheetPr>
    <outlinePr summaryBelow="1" summaryRight="1"/>
    <pageSetUpPr/>
  </sheetPr>
  <dimension ref="B1:C13"/>
  <sheetViews>
    <sheetView workbookViewId="0">
      <selection activeCell="A1" sqref="A1"/>
    </sheetView>
  </sheetViews>
  <sheetFormatPr baseColWidth="8" defaultRowHeight="15"/>
  <cols>
    <col width="3" customWidth="1" min="1" max="1"/>
    <col width="35" customWidth="1" min="2" max="2"/>
    <col width="30" customWidth="1" min="3" max="3"/>
    <col width="3" customWidth="1" min="4" max="4"/>
  </cols>
  <sheetData>
    <row r="1" ht="24" customHeight="1">
      <c r="B1" s="1" t="inlineStr">
        <is>
          <t>Workbook Control</t>
        </is>
      </c>
      <c r="C1" s="2" t="n"/>
    </row>
    <row r="3" ht="16" customHeight="1">
      <c r="B3" s="5" t="inlineStr">
        <is>
          <t>Ctrl_TestID</t>
        </is>
      </c>
      <c r="C3" s="9" t="inlineStr"/>
    </row>
    <row r="4" ht="16" customHeight="1">
      <c r="B4" s="5" t="inlineStr">
        <is>
          <t>Ctrl_WorkbookState</t>
        </is>
      </c>
      <c r="C4" s="9" t="inlineStr">
        <is>
          <t>Setup</t>
        </is>
      </c>
    </row>
    <row r="5" ht="16" customHeight="1">
      <c r="B5" s="5" t="inlineStr">
        <is>
          <t>Ctrl_ActiveGeometryType</t>
        </is>
      </c>
      <c r="C5" s="9" t="inlineStr"/>
    </row>
    <row r="6" ht="16" customHeight="1">
      <c r="B6" s="5" t="inlineStr">
        <is>
          <t>Ctrl_TestStartTimestamp</t>
        </is>
      </c>
      <c r="C6" s="9" t="inlineStr"/>
    </row>
    <row r="7" ht="16" customHeight="1">
      <c r="B7" s="5" t="inlineStr">
        <is>
          <t>Ctrl_SetupEnteredBy</t>
        </is>
      </c>
      <c r="C7" s="9" t="inlineStr"/>
    </row>
    <row r="8" ht="16" customHeight="1">
      <c r="B8" s="5" t="inlineStr">
        <is>
          <t>Ctrl_SetupEnteredAt</t>
        </is>
      </c>
      <c r="C8" s="9" t="inlineStr"/>
    </row>
    <row r="9" ht="16" customHeight="1">
      <c r="B9" s="5" t="inlineStr">
        <is>
          <t>Ctrl_Verified1By</t>
        </is>
      </c>
      <c r="C9" s="9" t="inlineStr"/>
    </row>
    <row r="10" ht="16" customHeight="1">
      <c r="B10" s="5" t="inlineStr">
        <is>
          <t>Ctrl_Verified1At</t>
        </is>
      </c>
      <c r="C10" s="9" t="inlineStr"/>
    </row>
    <row r="11" ht="16" customHeight="1">
      <c r="B11" s="5" t="inlineStr">
        <is>
          <t>Ctrl_Verified2By</t>
        </is>
      </c>
      <c r="C11" s="9" t="inlineStr"/>
    </row>
    <row r="12" ht="16" customHeight="1">
      <c r="B12" s="5" t="inlineStr">
        <is>
          <t>Ctrl_Verified2At</t>
        </is>
      </c>
      <c r="C12" s="9" t="inlineStr"/>
    </row>
    <row r="13" ht="16" customHeight="1">
      <c r="B13" s="5" t="inlineStr">
        <is>
          <t>Ctrl_SetupSignoffComplete</t>
        </is>
      </c>
      <c r="C13" s="9" t="inlineStr">
        <is>
          <t>FALSE</t>
        </is>
      </c>
    </row>
  </sheetData>
  <mergeCells count="1">
    <mergeCell ref="B1:C1"/>
  </mergeCells>
  <pageMargins left="0.75" right="0.75" top="1" bottom="1" header="0.5" footer="0.5"/>
</worksheet>
</file>

<file path=xl/worksheets/sheet20.xml><?xml version="1.0" encoding="utf-8"?>
<worksheet xmlns="http://schemas.openxmlformats.org/spreadsheetml/2006/main">
  <sheetPr>
    <outlinePr summaryBelow="1" summaryRight="1"/>
    <pageSetUpPr/>
  </sheetPr>
  <dimension ref="B1:F8"/>
  <sheetViews>
    <sheetView workbookViewId="0">
      <selection activeCell="A1" sqref="A1"/>
    </sheetView>
  </sheetViews>
  <sheetFormatPr baseColWidth="8" defaultRowHeight="15"/>
  <cols>
    <col width="3" customWidth="1" min="1" max="1"/>
    <col width="20" customWidth="1" min="2" max="2"/>
    <col width="14" customWidth="1" min="3" max="3"/>
    <col width="14" customWidth="1" min="4" max="4"/>
    <col width="14" customWidth="1" min="5" max="5"/>
    <col width="14" customWidth="1" min="6" max="6"/>
  </cols>
  <sheetData>
    <row r="1" ht="24" customHeight="1">
      <c r="B1" s="1" t="inlineStr">
        <is>
          <t>Product Specifications</t>
        </is>
      </c>
      <c r="C1" s="2" t="n"/>
      <c r="D1" s="2" t="n"/>
      <c r="E1" s="2" t="n"/>
      <c r="F1" s="2" t="n"/>
    </row>
    <row r="3" ht="20" customHeight="1">
      <c r="B3" s="8" t="inlineStr">
        <is>
          <t>Product Type</t>
        </is>
      </c>
      <c r="C3" s="8" t="inlineStr">
        <is>
          <t>AP (m²/m³)</t>
        </is>
      </c>
      <c r="D3" s="8" t="inlineStr">
        <is>
          <t>Wall Thickness (mm)</t>
        </is>
      </c>
      <c r="E3" s="8" t="inlineStr">
        <is>
          <t>Pitch (mm)</t>
        </is>
      </c>
      <c r="F3" s="8" t="inlineStr">
        <is>
          <t>Channel Type</t>
        </is>
      </c>
    </row>
    <row r="4" ht="16" customHeight="1">
      <c r="B4" s="20" t="n"/>
      <c r="C4" s="20" t="n"/>
      <c r="D4" s="20" t="n"/>
      <c r="E4" s="20" t="n"/>
      <c r="F4" s="20" t="n"/>
    </row>
    <row r="5" ht="16" customHeight="1">
      <c r="B5" s="20" t="n"/>
      <c r="C5" s="20" t="n"/>
      <c r="D5" s="20" t="n"/>
      <c r="E5" s="20" t="n"/>
      <c r="F5" s="20" t="n"/>
    </row>
    <row r="6" ht="16" customHeight="1">
      <c r="B6" s="20" t="n"/>
      <c r="C6" s="20" t="n"/>
      <c r="D6" s="20" t="n"/>
      <c r="E6" s="20" t="n"/>
      <c r="F6" s="20" t="n"/>
    </row>
    <row r="7" ht="16" customHeight="1">
      <c r="B7" s="20" t="n"/>
      <c r="C7" s="20" t="n"/>
      <c r="D7" s="20" t="n"/>
      <c r="E7" s="20" t="n"/>
      <c r="F7" s="20" t="n"/>
    </row>
    <row r="8" ht="16" customHeight="1">
      <c r="B8" s="20" t="n"/>
      <c r="C8" s="20" t="n"/>
      <c r="D8" s="20" t="n"/>
      <c r="E8" s="20" t="n"/>
      <c r="F8" s="20" t="n"/>
    </row>
  </sheetData>
  <mergeCells count="1">
    <mergeCell ref="B1:F1"/>
  </mergeCells>
  <pageMargins left="0.75" right="0.75" top="1" bottom="1" header="0.5" footer="0.5"/>
</worksheet>
</file>

<file path=xl/worksheets/sheet21.xml><?xml version="1.0" encoding="utf-8"?>
<worksheet xmlns="http://schemas.openxmlformats.org/spreadsheetml/2006/main">
  <sheetPr>
    <outlinePr summaryBelow="1" summaryRight="1"/>
    <pageSetUpPr/>
  </sheetPr>
  <dimension ref="B1:R7"/>
  <sheetViews>
    <sheetView workbookViewId="0">
      <selection activeCell="A1" sqref="A1"/>
    </sheetView>
  </sheetViews>
  <sheetFormatPr baseColWidth="8" defaultRowHeight="15"/>
  <cols>
    <col width="3" customWidth="1" min="1" max="1"/>
    <col width="20" customWidth="1" min="2" max="2"/>
    <col width="20" customWidth="1" min="3" max="3"/>
    <col width="20" customWidth="1" min="4" max="4"/>
    <col width="20" customWidth="1" min="5" max="5"/>
    <col width="20" customWidth="1" min="6" max="6"/>
    <col width="20" customWidth="1" min="7" max="7"/>
    <col width="20" customWidth="1" min="8" max="8"/>
    <col width="20" customWidth="1" min="9" max="9"/>
    <col width="20" customWidth="1" min="10" max="10"/>
    <col width="20" customWidth="1" min="11" max="11"/>
    <col width="20" customWidth="1" min="12" max="12"/>
    <col width="20" customWidth="1" min="13" max="13"/>
    <col width="20" customWidth="1" min="14" max="14"/>
    <col width="20" customWidth="1" min="15" max="15"/>
    <col width="20" customWidth="1" min="16" max="16"/>
    <col width="20" customWidth="1" min="17" max="17"/>
    <col width="20" customWidth="1" min="18" max="18"/>
  </cols>
  <sheetData>
    <row r="1" ht="24" customHeight="1">
      <c r="B1" s="1" t="inlineStr">
        <is>
          <t>Lists &amp; Dropdown Sources</t>
        </is>
      </c>
      <c r="C1" s="2" t="n"/>
      <c r="D1" s="2" t="n"/>
      <c r="E1" s="2" t="n"/>
      <c r="F1" s="2" t="n"/>
      <c r="G1" s="2" t="n"/>
      <c r="H1" s="2" t="n"/>
      <c r="I1" s="2" t="n"/>
      <c r="J1" s="2" t="n"/>
      <c r="K1" s="2" t="n"/>
      <c r="L1" s="2" t="n"/>
      <c r="M1" s="2" t="n"/>
      <c r="N1" s="2" t="n"/>
      <c r="O1" s="2" t="n"/>
      <c r="P1" s="2" t="n"/>
      <c r="Q1" s="2" t="n"/>
      <c r="R1" s="2" t="n"/>
    </row>
    <row r="3">
      <c r="B3" s="21" t="inlineStr">
        <is>
          <t>SampleType</t>
        </is>
      </c>
      <c r="C3" s="21" t="inlineStr">
        <is>
          <t>GeometryType</t>
        </is>
      </c>
      <c r="D3" s="21" t="inlineStr">
        <is>
          <t>TestType</t>
        </is>
      </c>
      <c r="E3" s="21" t="inlineStr">
        <is>
          <t>SamplePoint</t>
        </is>
      </c>
      <c r="F3" s="21" t="inlineStr">
        <is>
          <t>NOxAnalyzer</t>
        </is>
      </c>
      <c r="G3" s="21" t="inlineStr">
        <is>
          <t>NH3Method</t>
        </is>
      </c>
      <c r="H3" s="21" t="inlineStr">
        <is>
          <t>SO2Method</t>
        </is>
      </c>
      <c r="I3" s="21" t="inlineStr">
        <is>
          <t>SO2Stage</t>
        </is>
      </c>
      <c r="J3" s="21" t="inlineStr">
        <is>
          <t>TempContext</t>
        </is>
      </c>
      <c r="K3" s="21" t="inlineStr">
        <is>
          <t>FlowContext</t>
        </is>
      </c>
      <c r="L3" s="21" t="inlineStr">
        <is>
          <t>O2Context</t>
        </is>
      </c>
      <c r="M3" s="21" t="inlineStr">
        <is>
          <t>EntryType</t>
        </is>
      </c>
      <c r="N3" s="21" t="inlineStr">
        <is>
          <t>YesNo</t>
        </is>
      </c>
      <c r="O3" s="21" t="inlineStr">
        <is>
          <t>TrueFalse</t>
        </is>
      </c>
      <c r="P3" s="21" t="inlineStr">
        <is>
          <t>InletSO3Source</t>
        </is>
      </c>
      <c r="Q3" s="21" t="inlineStr">
        <is>
          <t>SO2Source</t>
        </is>
      </c>
      <c r="R3" s="21" t="inlineStr">
        <is>
          <t>Technicians</t>
        </is>
      </c>
    </row>
    <row r="4">
      <c r="B4" s="20" t="inlineStr">
        <is>
          <t>Honeycomb</t>
        </is>
      </c>
      <c r="C4" s="20" t="inlineStr">
        <is>
          <t>HC</t>
        </is>
      </c>
      <c r="D4" s="20" t="inlineStr">
        <is>
          <t>Activity</t>
        </is>
      </c>
      <c r="E4" s="20" t="inlineStr">
        <is>
          <t>Inlet</t>
        </is>
      </c>
      <c r="F4" s="20" t="inlineStr">
        <is>
          <t>FTIR</t>
        </is>
      </c>
      <c r="G4" s="20" t="inlineStr">
        <is>
          <t>FTIR</t>
        </is>
      </c>
      <c r="H4" s="20" t="inlineStr">
        <is>
          <t>FTIR</t>
        </is>
      </c>
      <c r="I4" s="20" t="inlineStr">
        <is>
          <t>Pre</t>
        </is>
      </c>
      <c r="J4" s="20" t="inlineStr">
        <is>
          <t>Pre-Test</t>
        </is>
      </c>
      <c r="K4" s="20" t="inlineStr">
        <is>
          <t>Pre-Test</t>
        </is>
      </c>
      <c r="L4" s="20" t="inlineStr">
        <is>
          <t>Pre-Test</t>
        </is>
      </c>
      <c r="M4" s="20" t="inlineStr">
        <is>
          <t>Form</t>
        </is>
      </c>
      <c r="N4" s="20" t="inlineStr">
        <is>
          <t>Yes</t>
        </is>
      </c>
      <c r="O4" s="20" t="inlineStr">
        <is>
          <t>TRUE</t>
        </is>
      </c>
      <c r="P4" s="20" t="inlineStr">
        <is>
          <t>Average</t>
        </is>
      </c>
      <c r="Q4" s="20" t="inlineStr">
        <is>
          <t>Validation</t>
        </is>
      </c>
      <c r="R4" s="20" t="inlineStr">
        <is>
          <t>Tech1</t>
        </is>
      </c>
    </row>
    <row r="5">
      <c r="B5" s="20" t="inlineStr">
        <is>
          <t>Plate</t>
        </is>
      </c>
      <c r="C5" s="20" t="inlineStr">
        <is>
          <t>Plate</t>
        </is>
      </c>
      <c r="D5" s="20" t="inlineStr">
        <is>
          <t>Conversion</t>
        </is>
      </c>
      <c r="E5" s="20" t="inlineStr">
        <is>
          <t>Outlet</t>
        </is>
      </c>
      <c r="F5" s="20" t="inlineStr">
        <is>
          <t>NOxAn</t>
        </is>
      </c>
      <c r="G5" s="20" t="inlineStr">
        <is>
          <t>IC</t>
        </is>
      </c>
      <c r="H5" s="20" t="inlineStr">
        <is>
          <t>IC</t>
        </is>
      </c>
      <c r="I5" s="20" t="inlineStr">
        <is>
          <t>Test</t>
        </is>
      </c>
      <c r="J5" s="20" t="inlineStr">
        <is>
          <t>During Test</t>
        </is>
      </c>
      <c r="K5" s="20" t="inlineStr">
        <is>
          <t>During Test</t>
        </is>
      </c>
      <c r="L5" s="20" t="inlineStr">
        <is>
          <t>During Test</t>
        </is>
      </c>
      <c r="M5" s="20" t="inlineStr">
        <is>
          <t>Manual</t>
        </is>
      </c>
      <c r="N5" s="20" t="inlineStr">
        <is>
          <t>No</t>
        </is>
      </c>
      <c r="O5" s="20" t="inlineStr">
        <is>
          <t>FALSE</t>
        </is>
      </c>
      <c r="P5" s="20" t="inlineStr">
        <is>
          <t>RecordID</t>
        </is>
      </c>
      <c r="Q5" s="20" t="inlineStr">
        <is>
          <t>Test Average</t>
        </is>
      </c>
      <c r="R5" s="20" t="inlineStr">
        <is>
          <t>Tech2</t>
        </is>
      </c>
    </row>
    <row r="6">
      <c r="B6" s="20" t="inlineStr">
        <is>
          <t>Corrugated</t>
        </is>
      </c>
      <c r="C6" s="20" t="inlineStr">
        <is>
          <t>Corrugated</t>
        </is>
      </c>
      <c r="I6" s="20" t="inlineStr">
        <is>
          <t>Post</t>
        </is>
      </c>
      <c r="M6" s="20" t="inlineStr">
        <is>
          <t>Import</t>
        </is>
      </c>
      <c r="Q6" s="20" t="inlineStr">
        <is>
          <t>RecordID</t>
        </is>
      </c>
      <c r="R6" s="20" t="inlineStr">
        <is>
          <t>Tech3</t>
        </is>
      </c>
    </row>
    <row r="7">
      <c r="R7" s="20" t="inlineStr">
        <is>
          <t>Tech4</t>
        </is>
      </c>
    </row>
  </sheetData>
  <mergeCells count="1">
    <mergeCell ref="B1:R1"/>
  </mergeCells>
  <pageMargins left="0.75" right="0.75" top="1" bottom="1" header="0.5" footer="0.5"/>
</worksheet>
</file>

<file path=xl/worksheets/sheet22.xml><?xml version="1.0" encoding="utf-8"?>
<worksheet xmlns="http://schemas.openxmlformats.org/spreadsheetml/2006/main">
  <sheetPr>
    <outlinePr summaryBelow="1" summaryRight="1"/>
    <pageSetUpPr/>
  </sheetPr>
  <dimension ref="B1:D13"/>
  <sheetViews>
    <sheetView workbookViewId="0">
      <selection activeCell="A1" sqref="A1"/>
    </sheetView>
  </sheetViews>
  <sheetFormatPr baseColWidth="8" defaultRowHeight="15"/>
  <cols>
    <col width="3" customWidth="1" min="1" max="1"/>
    <col width="30" customWidth="1" min="2" max="2"/>
    <col width="18" customWidth="1" min="3" max="3"/>
    <col width="40" customWidth="1" min="4" max="4"/>
    <col width="3" customWidth="1" min="5" max="5"/>
  </cols>
  <sheetData>
    <row r="1" ht="24" customHeight="1">
      <c r="B1" s="1" t="inlineStr">
        <is>
          <t>Constants</t>
        </is>
      </c>
      <c r="C1" s="2" t="n"/>
      <c r="D1" s="2" t="n"/>
    </row>
    <row r="3" ht="20" customHeight="1">
      <c r="B3" s="8" t="inlineStr">
        <is>
          <t>Name</t>
        </is>
      </c>
      <c r="C3" s="8" t="inlineStr">
        <is>
          <t>Value</t>
        </is>
      </c>
      <c r="D3" s="8" t="inlineStr">
        <is>
          <t>Description</t>
        </is>
      </c>
    </row>
    <row r="4" ht="16" customHeight="1">
      <c r="B4" s="5" t="inlineStr">
        <is>
          <t>H2O_Reference</t>
        </is>
      </c>
      <c r="C4" s="9" t="n">
        <v>0.18</v>
      </c>
      <c r="D4" s="22" t="inlineStr">
        <is>
          <t>H₂O reference for fallback chain (18%)</t>
        </is>
      </c>
    </row>
    <row r="5" ht="16" customHeight="1">
      <c r="B5" s="5" t="inlineStr">
        <is>
          <t>MolarMass_NO</t>
        </is>
      </c>
      <c r="C5" s="9" t="n">
        <v>30.01</v>
      </c>
      <c r="D5" s="22" t="inlineStr">
        <is>
          <t>g/mol</t>
        </is>
      </c>
    </row>
    <row r="6" ht="16" customHeight="1">
      <c r="B6" s="5" t="inlineStr">
        <is>
          <t>MolarMass_NO2</t>
        </is>
      </c>
      <c r="C6" s="9" t="n">
        <v>46.01</v>
      </c>
      <c r="D6" s="22" t="inlineStr">
        <is>
          <t>g/mol</t>
        </is>
      </c>
    </row>
    <row r="7" ht="16" customHeight="1">
      <c r="B7" s="5" t="inlineStr">
        <is>
          <t>MolarMass_NH3</t>
        </is>
      </c>
      <c r="C7" s="9" t="n">
        <v>17.03</v>
      </c>
      <c r="D7" s="22" t="inlineStr">
        <is>
          <t>g/mol</t>
        </is>
      </c>
    </row>
    <row r="8" ht="16" customHeight="1">
      <c r="B8" s="5" t="inlineStr">
        <is>
          <t>MolarMass_SO2</t>
        </is>
      </c>
      <c r="C8" s="9" t="n">
        <v>64.06999999999999</v>
      </c>
      <c r="D8" s="22" t="inlineStr">
        <is>
          <t>g/mol</t>
        </is>
      </c>
    </row>
    <row r="9" ht="16" customHeight="1">
      <c r="B9" s="5" t="inlineStr">
        <is>
          <t>MolarMass_SO3</t>
        </is>
      </c>
      <c r="C9" s="9" t="n">
        <v>80.06</v>
      </c>
      <c r="D9" s="22" t="inlineStr">
        <is>
          <t>g/mol</t>
        </is>
      </c>
    </row>
    <row r="10" ht="16" customHeight="1">
      <c r="B10" s="5" t="inlineStr">
        <is>
          <t>STP_Temp_K</t>
        </is>
      </c>
      <c r="C10" s="9" t="n">
        <v>273.15</v>
      </c>
      <c r="D10" s="22" t="inlineStr">
        <is>
          <t>Standard temperature (K)</t>
        </is>
      </c>
    </row>
    <row r="11" ht="16" customHeight="1">
      <c r="B11" s="5" t="inlineStr">
        <is>
          <t>STP_Pressure_mmHg</t>
        </is>
      </c>
      <c r="C11" s="9" t="n">
        <v>760</v>
      </c>
      <c r="D11" s="22" t="inlineStr">
        <is>
          <t>Standard pressure (mmHg)</t>
        </is>
      </c>
    </row>
    <row r="12" ht="16" customHeight="1">
      <c r="B12" s="5" t="inlineStr">
        <is>
          <t>IdealGasVol_L</t>
        </is>
      </c>
      <c r="C12" s="9" t="n">
        <v>22.414</v>
      </c>
      <c r="D12" s="22" t="inlineStr">
        <is>
          <t>Ideal gas molar volume at STP (L/mol)</t>
        </is>
      </c>
    </row>
    <row r="13" ht="16" customHeight="1">
      <c r="B13" s="5" t="inlineStr">
        <is>
          <t>Nm3_to_scfm_Factor</t>
        </is>
      </c>
      <c r="C13" s="9" t="n">
        <v>0.58858</v>
      </c>
      <c r="D13" s="22" t="inlineStr">
        <is>
          <t>Conversion factor Nm³/h → scfm</t>
        </is>
      </c>
    </row>
  </sheetData>
  <mergeCells count="1">
    <mergeCell ref="B1:D1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2026-03-10T20:13:45Z</dcterms:created>
  <dcterms:modified xsi:type="dcterms:W3CDTF">2026-03-10T20:13:45Z</dcterms:modified>
</cp:coreProperties>
</file>