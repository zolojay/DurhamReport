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ables/table1.xml" ContentType="application/vnd.openxmlformats-officedocument.spreadsheetml.table+xml"/>
  <Override PartName="/xl/worksheets/sheet11.xml" ContentType="application/vnd.openxmlformats-officedocument.spreadsheetml.worksheet+xml"/>
  <Override PartName="/xl/tables/table2.xml" ContentType="application/vnd.openxmlformats-officedocument.spreadsheetml.table+xml"/>
  <Override PartName="/xl/worksheets/sheet12.xml" ContentType="application/vnd.openxmlformats-officedocument.spreadsheetml.worksheet+xml"/>
  <Override PartName="/xl/tables/table3.xml" ContentType="application/vnd.openxmlformats-officedocument.spreadsheetml.table+xml"/>
  <Override PartName="/xl/worksheets/sheet13.xml" ContentType="application/vnd.openxmlformats-officedocument.spreadsheetml.worksheet+xml"/>
  <Override PartName="/xl/tables/table4.xml" ContentType="application/vnd.openxmlformats-officedocument.spreadsheetml.table+xml"/>
  <Override PartName="/xl/worksheets/sheet14.xml" ContentType="application/vnd.openxmlformats-officedocument.spreadsheetml.worksheet+xml"/>
  <Override PartName="/xl/tables/table5.xml" ContentType="application/vnd.openxmlformats-officedocument.spreadsheetml.table+xml"/>
  <Override PartName="/xl/worksheets/sheet15.xml" ContentType="application/vnd.openxmlformats-officedocument.spreadsheetml.worksheet+xml"/>
  <Override PartName="/xl/tables/table6.xml" ContentType="application/vnd.openxmlformats-officedocument.spreadsheetml.table+xml"/>
  <Override PartName="/xl/worksheets/sheet16.xml" ContentType="application/vnd.openxmlformats-officedocument.spreadsheetml.worksheet+xml"/>
  <Override PartName="/xl/tables/table7.xml" ContentType="application/vnd.openxmlformats-officedocument.spreadsheetml.table+xml"/>
  <Override PartName="/xl/worksheets/sheet17.xml" ContentType="application/vnd.openxmlformats-officedocument.spreadsheetml.worksheet+xml"/>
  <Override PartName="/xl/tables/table8.xml" ContentType="application/vnd.openxmlformats-officedocument.spreadsheetml.table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Home" sheetId="1" state="visible" r:id="rId1"/>
    <sheet name="Specifications" sheetId="2" state="visible" r:id="rId2"/>
    <sheet name="HC Geometry" sheetId="3" state="hidden" r:id="rId3"/>
    <sheet name="Plate Geometry" sheetId="4" state="hidden" r:id="rId4"/>
    <sheet name="Corrugated Geometry" sheetId="5" state="hidden" r:id="rId5"/>
    <sheet name="Setup Summary" sheetId="6" state="hidden" r:id="rId6"/>
    <sheet name="Activity" sheetId="7" state="hidden" r:id="rId7"/>
    <sheet name="Conversion" sheetId="8" state="hidden" r:id="rId8"/>
    <sheet name="DP" sheetId="9" state="hidden" r:id="rId9"/>
    <sheet name="NOx Data" sheetId="10" state="veryHidden" r:id="rId10"/>
    <sheet name="NH3 Data" sheetId="11" state="veryHidden" r:id="rId11"/>
    <sheet name="SO2 Data" sheetId="12" state="veryHidden" r:id="rId12"/>
    <sheet name="SO3 Data" sheetId="13" state="veryHidden" r:id="rId13"/>
    <sheet name="Temperature Data" sheetId="14" state="veryHidden" r:id="rId14"/>
    <sheet name="Flow Data" sheetId="15" state="veryHidden" r:id="rId15"/>
    <sheet name="O2 Data" sheetId="16" state="veryHidden" r:id="rId16"/>
    <sheet name="DP Data" sheetId="17" state="veryHidden" r:id="rId17"/>
    <sheet name="Geometry Calc" sheetId="18" state="veryHidden" r:id="rId18"/>
    <sheet name="Control" sheetId="19" state="veryHidden" r:id="rId19"/>
    <sheet name="Product Specs" sheetId="20" state="veryHidden" r:id="rId20"/>
    <sheet name="Lists" sheetId="21" state="veryHidden" r:id="rId21"/>
    <sheet name="Constants" sheetId="22" state="veryHidden" r:id="rId22"/>
  </sheets>
  <definedNames>
    <definedName name="Ctrl_TestID">'Control'!$C$3</definedName>
    <definedName name="Ctrl_WorkbookState">'Control'!$C$4</definedName>
    <definedName name="Ctrl_ActiveGeometryType">'Control'!$C$5</definedName>
    <definedName name="Ctrl_TestStartTimestamp">'Control'!$C$6</definedName>
    <definedName name="Ctrl_SetupEnteredBy">'Control'!$C$7</definedName>
    <definedName name="Ctrl_SetupEnteredAt">'Control'!$C$8</definedName>
    <definedName name="Ctrl_Verified1By">'Control'!$C$9</definedName>
    <definedName name="Ctrl_Verified1At">'Control'!$C$10</definedName>
    <definedName name="Ctrl_Verified2By">'Control'!$C$11</definedName>
    <definedName name="Ctrl_Verified2At">'Control'!$C$12</definedName>
    <definedName name="Ctrl_SetupSignoffComplete">'Control'!$C$13</definedName>
    <definedName name="Spec_Temp_Tolerance_C">'Specifications'!$C$4</definedName>
    <definedName name="Spec_Flow_Tolerance_Pct">'Specifications'!$C$5</definedName>
    <definedName name="Spec_O2_Tolerance_Pct">'Specifications'!$C$6</definedName>
    <definedName name="Spec_NOx_Tolerance_Pct">'Specifications'!$C$7</definedName>
    <definedName name="Spec_SO2_Tolerance_Pct">'Specifications'!$C$8</definedName>
    <definedName name="Spec_NH3_Tolerance_Pct">'Specifications'!$C$9</definedName>
    <definedName name="Spec_MR_Tolerance">'Specifications'!$C$10</definedName>
    <definedName name="Spec_SS_MinPoints">'Specifications'!$C$11</definedName>
    <definedName name="Spec_SS_K_StdDev_Max">'Specifications'!$C$12</definedName>
    <definedName name="Spec_SS_NormSlope_Max">'Specifications'!$C$13</definedName>
    <definedName name="Spec_SS_Conv_StdDev_Max">'Specifications'!$C$14</definedName>
    <definedName name="Spec_SS_Conv_NormSlope_Max">'Specifications'!$C$15</definedName>
    <definedName name="Spec_DP_PctTheory_Warning">'Specifications'!$C$16</definedName>
    <definedName name="Spec_DP_PctTheory_Fail">'Specifications'!$C$17</definedName>
    <definedName name="H2O_Reference">'Constants'!$C$4</definedName>
    <definedName name="MolarMass_NO">'Constants'!$C$5</definedName>
    <definedName name="MolarMass_NO2">'Constants'!$C$6</definedName>
    <definedName name="MolarMass_NH3">'Constants'!$C$7</definedName>
    <definedName name="MolarMass_SO2">'Constants'!$C$8</definedName>
    <definedName name="MolarMass_SO3">'Constants'!$C$9</definedName>
    <definedName name="STP_Temp_K">'Constants'!$C$10</definedName>
    <definedName name="STP_Pressure_mmHg">'Constants'!$C$11</definedName>
    <definedName name="IdealGasVol_L">'Constants'!$C$12</definedName>
    <definedName name="Nm3_to_scfm_Factor">'Constants'!$C$13</definedName>
    <definedName name="GC_AvgAdjFFA">'Geometry Calc'!$C$109</definedName>
    <definedName name="GC_TotalAdjArea">'Geometry Calc'!$C$110</definedName>
    <definedName name="GC_ActiveLayers">'Geometry Calc'!$C$111</definedName>
    <definedName name="GC_Flow_Act_Nm3h">'Geometry Calc'!$C$112</definedName>
    <definedName name="GC_Flow_Conv_Nm3h">'Geometry Calc'!$C$113</definedName>
    <definedName name="GC_Flow_Act_scfm">'Geometry Calc'!$C$114</definedName>
    <definedName name="GC_Flow_Conv_scfm">'Geometry Calc'!$C$115</definedName>
    <definedName name="GC_AV_Act">'Geometry Calc'!$C$116</definedName>
    <definedName name="GC_AV_Conv">'Geometry Calc'!$C$117</definedName>
    <definedName name="GC_Flow_Act_Status">'Geometry Calc'!$C$118</definedName>
    <definedName name="GC_Flow_Conv_Status">'Geometry Calc'!$C$119</definedName>
    <definedName name="GC_SO3_Inj_Act">'Geometry Calc'!$C$120</definedName>
    <definedName name="GC_SO3_Inj_Conv">'Geometry Calc'!$C$121</definedName>
    <definedName name="GC_NH3_Inj_Act">'Geometry Calc'!$C$122</definedName>
    <definedName name="GC_NH3_Inj_Conv">'Geometry Calc'!$C$123</definedName>
    <definedName name="GC_SO2_Inj_Act">'Geometry Calc'!$C$124</definedName>
    <definedName name="GC_SO2_Inj_Conv">'Geometry Calc'!$C$125</definedName>
    <definedName name="List_SampleType">'Lists'!$B$4:$B$6</definedName>
    <definedName name="List_GeometryType">'Lists'!$C$4:$C$6</definedName>
    <definedName name="List_TestType">'Lists'!$D$4:$D$5</definedName>
    <definedName name="List_SamplePoint">'Lists'!$E$4:$E$5</definedName>
    <definedName name="List_NOxAnalyzer">'Lists'!$F$4:$F$5</definedName>
    <definedName name="List_NH3Method">'Lists'!$G$4:$G$5</definedName>
    <definedName name="List_SO2Method">'Lists'!$H$4:$H$5</definedName>
    <definedName name="List_SO2Stage">'Lists'!$I$4:$I$6</definedName>
    <definedName name="List_TempContext">'Lists'!$J$4:$J$5</definedName>
    <definedName name="List_FlowContext">'Lists'!$K$4:$K$5</definedName>
    <definedName name="List_O2Context">'Lists'!$L$4:$L$5</definedName>
    <definedName name="List_EntryType">'Lists'!$M$4:$M$6</definedName>
    <definedName name="List_YesNo">'Lists'!$N$4:$N$5</definedName>
    <definedName name="List_TrueFalse">'Lists'!$O$4:$O$5</definedName>
    <definedName name="List_InletSO3Source">'Lists'!$P$4:$P$5</definedName>
    <definedName name="List_SO2Source">'Lists'!$Q$4:$Q$6</definedName>
    <definedName name="List_Technicians">'Lists'!$R$4:$R$7</definedName>
    <definedName name="_xlnm.Print_Area" localSheetId="0">'Home'!$A$1:$E$46</definedName>
    <definedName name="_xlnm.Print_Area" localSheetId="1">'Specifications'!$A$1:$D$17</definedName>
    <definedName name="_xlnm.Print_Area" localSheetId="2">'HC Geometry'!$A$1:$K$20</definedName>
    <definedName name="_xlnm.Print_Area" localSheetId="3">'Plate Geometry'!$A$1:$F$45</definedName>
    <definedName name="_xlnm.Print_Area" localSheetId="4">'Corrugated Geometry'!$A$1:$H$17</definedName>
    <definedName name="_xlnm.Print_Area" localSheetId="5">'Setup Summary'!$A$1:$E$44</definedName>
    <definedName name="_xlnm.Print_Area" localSheetId="6">'Activity'!$A$1:$P$73</definedName>
    <definedName name="_xlnm.Print_Area" localSheetId="7">'Conversion'!$A$1:$L$84</definedName>
    <definedName name="_xlnm.Print_Area" localSheetId="8">'DP'!$A$1:$K$16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color rgb="00FFFFFF"/>
      <sz val="14"/>
    </font>
    <font>
      <name val="Calibri"/>
      <b val="1"/>
      <sz val="11"/>
    </font>
    <font>
      <name val="Calibri"/>
      <sz val="11"/>
    </font>
    <font>
      <name val="Calibri"/>
      <b val="1"/>
      <color rgb="00FFFFFF"/>
      <sz val="11"/>
    </font>
    <font>
      <name val="Calibri"/>
      <b val="1"/>
      <color rgb="002C3A8C"/>
      <sz val="11"/>
    </font>
    <font>
      <name val="Calibri"/>
      <sz val="10"/>
    </font>
    <font>
      <name val="Calibri"/>
      <i val="1"/>
      <sz val="11"/>
    </font>
    <font>
      <name val="Calibri"/>
      <b val="1"/>
      <color rgb="00FFFFFF"/>
      <sz val="12"/>
    </font>
  </fonts>
  <fills count="8">
    <fill>
      <patternFill/>
    </fill>
    <fill>
      <patternFill patternType="gray125"/>
    </fill>
    <fill>
      <patternFill patternType="solid">
        <fgColor rgb="000E1638"/>
        <bgColor rgb="000E1638"/>
      </patternFill>
    </fill>
    <fill>
      <patternFill patternType="solid">
        <fgColor rgb="002C3A8C"/>
        <bgColor rgb="002C3A8C"/>
      </patternFill>
    </fill>
    <fill>
      <patternFill patternType="solid">
        <fgColor rgb="00E8EAF6"/>
        <bgColor rgb="00E8EAF6"/>
      </patternFill>
    </fill>
    <fill>
      <patternFill patternType="solid">
        <fgColor rgb="00FFF9C4"/>
        <bgColor rgb="00FFF9C4"/>
      </patternFill>
    </fill>
    <fill>
      <patternFill patternType="solid">
        <fgColor rgb="004C5CE0"/>
        <bgColor rgb="004C5CE0"/>
      </patternFill>
    </fill>
    <fill>
      <patternFill patternType="solid">
        <fgColor rgb="00E8E8E8"/>
        <bgColor rgb="00E8E8E8"/>
      </patternFill>
    </fill>
  </fills>
  <borders count="6">
    <border>
      <left/>
      <right/>
      <top/>
      <bottom/>
      <diagonal/>
    </border>
    <border>
      <left style="thin"/>
      <right style="thin"/>
      <top style="thin"/>
      <bottom style="thin"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/>
      <right/>
      <top style="thin"/>
      <bottom style="thin"/>
      <diagonal/>
    </border>
    <border>
      <left/>
      <right style="thin"/>
      <top style="thin"/>
      <bottom style="thin"/>
      <diagonal/>
    </border>
  </borders>
  <cellStyleXfs count="1">
    <xf numFmtId="0" fontId="0" fillId="0" borderId="0"/>
  </cellStyleXfs>
  <cellXfs count="23">
    <xf numFmtId="0" fontId="0" fillId="0" borderId="0" pivotButton="0" quotePrefix="0" xfId="0"/>
    <xf numFmtId="0" fontId="1" fillId="2" borderId="0" applyAlignment="1" pivotButton="0" quotePrefix="0" xfId="0">
      <alignment horizontal="left" vertical="center"/>
    </xf>
    <xf numFmtId="0" fontId="0" fillId="2" borderId="0" pivotButton="0" quotePrefix="0" xfId="0"/>
    <xf numFmtId="0" fontId="2" fillId="3" borderId="0" applyAlignment="1" pivotButton="0" quotePrefix="0" xfId="0">
      <alignment horizontal="left" vertical="center"/>
    </xf>
    <xf numFmtId="0" fontId="0" fillId="3" borderId="0" pivotButton="0" quotePrefix="0" xfId="0"/>
    <xf numFmtId="0" fontId="3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center" vertical="center"/>
    </xf>
    <xf numFmtId="20" fontId="4" fillId="5" borderId="1" applyAlignment="1" pivotButton="0" quotePrefix="0" xfId="0">
      <alignment horizontal="center" vertical="center"/>
    </xf>
    <xf numFmtId="0" fontId="5" fillId="6" borderId="1" applyAlignment="1" pivotButton="0" quotePrefix="0" xfId="0">
      <alignment horizontal="center" vertical="center" wrapText="1"/>
    </xf>
    <xf numFmtId="0" fontId="4" fillId="7" borderId="1" applyAlignment="1" pivotButton="0" quotePrefix="0" xfId="0">
      <alignment horizontal="center" vertical="center"/>
    </xf>
    <xf numFmtId="0" fontId="6" fillId="4" borderId="1" applyAlignment="1" pivotButton="0" quotePrefix="0" xfId="0">
      <alignment horizontal="center" vertical="center"/>
    </xf>
    <xf numFmtId="0" fontId="0" fillId="4" borderId="1" pivotButton="0" quotePrefix="0" xfId="0"/>
    <xf numFmtId="0" fontId="7" fillId="4" borderId="1" applyAlignment="1" pivotButton="0" quotePrefix="0" xfId="0">
      <alignment horizontal="left" vertical="center"/>
    </xf>
    <xf numFmtId="0" fontId="8" fillId="4" borderId="0" applyAlignment="1" pivotButton="0" quotePrefix="0" xfId="0">
      <alignment horizontal="left" vertical="center"/>
    </xf>
    <xf numFmtId="0" fontId="0" fillId="4" borderId="0" pivotButton="0" quotePrefix="0" xfId="0"/>
    <xf numFmtId="0" fontId="3" fillId="4" borderId="1" applyAlignment="1" pivotButton="0" quotePrefix="0" xfId="0">
      <alignment horizontal="center" vertical="center"/>
    </xf>
    <xf numFmtId="2" fontId="4" fillId="5" borderId="1" applyAlignment="1" pivotButton="0" quotePrefix="0" xfId="0">
      <alignment horizontal="center" vertical="center"/>
    </xf>
    <xf numFmtId="2" fontId="4" fillId="7" borderId="1" applyAlignment="1" pivotButton="0" quotePrefix="0" xfId="0">
      <alignment horizontal="center" vertical="center"/>
    </xf>
    <xf numFmtId="0" fontId="9" fillId="2" borderId="0" applyAlignment="1" pivotButton="0" quotePrefix="0" xfId="0">
      <alignment horizontal="left" vertical="center"/>
    </xf>
    <xf numFmtId="0" fontId="7" fillId="0" borderId="1" pivotButton="0" quotePrefix="0" xfId="0"/>
    <xf numFmtId="0" fontId="5" fillId="6" borderId="1" applyAlignment="1" pivotButton="0" quotePrefix="0" xfId="0">
      <alignment horizontal="center" vertical="center"/>
    </xf>
    <xf numFmtId="0" fontId="4" fillId="0" borderId="1" pivotButton="0" quotePrefix="0" xfId="0"/>
    <xf numFmtId="0" fontId="7" fillId="4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styles" Target="styles.xml" Id="rId23" /><Relationship Type="http://schemas.openxmlformats.org/officeDocument/2006/relationships/theme" Target="theme/theme1.xml" Id="rId24" /></Relationships>
</file>

<file path=xl/tables/table1.xml><?xml version="1.0" encoding="utf-8"?>
<table xmlns="http://schemas.openxmlformats.org/spreadsheetml/2006/main" id="1" name="tbl_NOx" displayName="tbl_NOx" ref="A1:U2" headerRowCount="1">
  <autoFilter ref="A1:U2"/>
  <tableColumns count="21">
    <tableColumn id="1" name="RecordID"/>
    <tableColumn id="2" name="TestID"/>
    <tableColumn id="3" name="EntryType"/>
    <tableColumn id="4" name="DateEntered"/>
    <tableColumn id="5" name="TimeEntered"/>
    <tableColumn id="6" name="EnteredBy"/>
    <tableColumn id="7" name="LastModifiedDate"/>
    <tableColumn id="8" name="LastModifiedTime"/>
    <tableColumn id="9" name="LastModifiedBy"/>
    <tableColumn id="10" name="Excluded"/>
    <tableColumn id="11" name="ExcludeReason"/>
    <tableColumn id="12" name="Notes"/>
    <tableColumn id="13" name="TestType"/>
    <tableColumn id="14" name="SamplePoint"/>
    <tableColumn id="15" name="Analyzer"/>
    <tableColumn id="16" name="FTIR_NO_Wet"/>
    <tableColumn id="17" name="FTIR_NO2_Wet"/>
    <tableColumn id="18" name="FTIR_H2O_Pct"/>
    <tableColumn id="19" name="NOxAn_NO_Dry"/>
    <tableColumn id="20" name="NOxAn_NO2_Dry"/>
    <tableColumn id="21" name="DryNOxUsed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id="2" name="tbl_NH3" displayName="tbl_NH3" ref="A1:W2" headerRowCount="1">
  <autoFilter ref="A1:W2"/>
  <tableColumns count="23">
    <tableColumn id="1" name="RecordID"/>
    <tableColumn id="2" name="TestID"/>
    <tableColumn id="3" name="EntryType"/>
    <tableColumn id="4" name="DateEntered"/>
    <tableColumn id="5" name="TimeEntered"/>
    <tableColumn id="6" name="EnteredBy"/>
    <tableColumn id="7" name="LastModifiedDate"/>
    <tableColumn id="8" name="LastModifiedTime"/>
    <tableColumn id="9" name="LastModifiedBy"/>
    <tableColumn id="10" name="Excluded"/>
    <tableColumn id="11" name="ExcludeReason"/>
    <tableColumn id="12" name="Notes"/>
    <tableColumn id="13" name="TestType"/>
    <tableColumn id="14" name="SamplePoint"/>
    <tableColumn id="15" name="Method"/>
    <tableColumn id="16" name="FTIR_NH3_Wet"/>
    <tableColumn id="17" name="FTIR_H2O_Pct"/>
    <tableColumn id="18" name="IC_Result"/>
    <tableColumn id="19" name="Dilution"/>
    <tableColumn id="20" name="MeterVol_L"/>
    <tableColumn id="21" name="MeterTemp_C"/>
    <tableColumn id="22" name="BaroP_mmHg"/>
    <tableColumn id="23" name="DryNH3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id="3" name="tbl_SO2" displayName="tbl_SO2" ref="A1:W2" headerRowCount="1">
  <autoFilter ref="A1:W2"/>
  <tableColumns count="23">
    <tableColumn id="1" name="RecordID"/>
    <tableColumn id="2" name="TestID"/>
    <tableColumn id="3" name="EntryType"/>
    <tableColumn id="4" name="DateEntered"/>
    <tableColumn id="5" name="TimeEntered"/>
    <tableColumn id="6" name="EnteredBy"/>
    <tableColumn id="7" name="LastModifiedDate"/>
    <tableColumn id="8" name="LastModifiedTime"/>
    <tableColumn id="9" name="LastModifiedBy"/>
    <tableColumn id="10" name="Excluded"/>
    <tableColumn id="11" name="ExcludeReason"/>
    <tableColumn id="12" name="Notes"/>
    <tableColumn id="13" name="TestType"/>
    <tableColumn id="14" name="Stage"/>
    <tableColumn id="15" name="Method"/>
    <tableColumn id="16" name="FTIR_SO2_Wet"/>
    <tableColumn id="17" name="FTIR_H2O_Pct"/>
    <tableColumn id="18" name="IC_Result"/>
    <tableColumn id="19" name="Dilution"/>
    <tableColumn id="20" name="MeterVol_L"/>
    <tableColumn id="21" name="MeterTemp_C"/>
    <tableColumn id="22" name="BaroP_mmHg"/>
    <tableColumn id="23" name="DrySO2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id="4" name="tbl_SO3" displayName="tbl_SO3" ref="A1:W2" headerRowCount="1">
  <autoFilter ref="A1:W2"/>
  <tableColumns count="23">
    <tableColumn id="1" name="RecordID"/>
    <tableColumn id="2" name="TestID"/>
    <tableColumn id="3" name="EntryType"/>
    <tableColumn id="4" name="DateEntered"/>
    <tableColumn id="5" name="TimeEntered"/>
    <tableColumn id="6" name="EnteredBy"/>
    <tableColumn id="7" name="LastModifiedDate"/>
    <tableColumn id="8" name="LastModifiedTime"/>
    <tableColumn id="9" name="LastModifiedBy"/>
    <tableColumn id="10" name="Excluded"/>
    <tableColumn id="11" name="ExcludeReason"/>
    <tableColumn id="12" name="Notes"/>
    <tableColumn id="13" name="TestType"/>
    <tableColumn id="14" name="SamplePoint"/>
    <tableColumn id="15" name="PullVol_L"/>
    <tableColumn id="16" name="IC_Result"/>
    <tableColumn id="17" name="Dilution"/>
    <tableColumn id="18" name="MeterTemp_C"/>
    <tableColumn id="19" name="RoomP_mmHg"/>
    <tableColumn id="20" name="CorrectedGasVol"/>
    <tableColumn id="21" name="DryMoles"/>
    <tableColumn id="22" name="SO3Moles"/>
    <tableColumn id="23" name="DrySO3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id="5" name="tbl_Temperature" displayName="tbl_Temperature" ref="A1:O2" headerRowCount="1">
  <autoFilter ref="A1:O2"/>
  <tableColumns count="15">
    <tableColumn id="1" name="RecordID"/>
    <tableColumn id="2" name="TestID"/>
    <tableColumn id="3" name="EntryType"/>
    <tableColumn id="4" name="DateEntered"/>
    <tableColumn id="5" name="TimeEntered"/>
    <tableColumn id="6" name="EnteredBy"/>
    <tableColumn id="7" name="LastModifiedDate"/>
    <tableColumn id="8" name="LastModifiedTime"/>
    <tableColumn id="9" name="LastModifiedBy"/>
    <tableColumn id="10" name="Excluded"/>
    <tableColumn id="11" name="ExcludeReason"/>
    <tableColumn id="12" name="Notes"/>
    <tableColumn id="13" name="TestType"/>
    <tableColumn id="14" name="Context"/>
    <tableColumn id="15" name="Value_C"/>
  </tableColumns>
  <tableStyleInfo name="TableStyleLight1" showFirstColumn="0" showLastColumn="0" showRowStripes="0" showColumnStripes="0"/>
</table>
</file>

<file path=xl/tables/table6.xml><?xml version="1.0" encoding="utf-8"?>
<table xmlns="http://schemas.openxmlformats.org/spreadsheetml/2006/main" id="6" name="tbl_Flow" displayName="tbl_Flow" ref="A1:O2" headerRowCount="1">
  <autoFilter ref="A1:O2"/>
  <tableColumns count="15">
    <tableColumn id="1" name="RecordID"/>
    <tableColumn id="2" name="TestID"/>
    <tableColumn id="3" name="EntryType"/>
    <tableColumn id="4" name="DateEntered"/>
    <tableColumn id="5" name="TimeEntered"/>
    <tableColumn id="6" name="EnteredBy"/>
    <tableColumn id="7" name="LastModifiedDate"/>
    <tableColumn id="8" name="LastModifiedTime"/>
    <tableColumn id="9" name="LastModifiedBy"/>
    <tableColumn id="10" name="Excluded"/>
    <tableColumn id="11" name="ExcludeReason"/>
    <tableColumn id="12" name="Notes"/>
    <tableColumn id="13" name="TestType"/>
    <tableColumn id="14" name="Context"/>
    <tableColumn id="15" name="Value_scfm"/>
  </tableColumns>
  <tableStyleInfo name="TableStyleLight1" showFirstColumn="0" showLastColumn="0" showRowStripes="0" showColumnStripes="0"/>
</table>
</file>

<file path=xl/tables/table7.xml><?xml version="1.0" encoding="utf-8"?>
<table xmlns="http://schemas.openxmlformats.org/spreadsheetml/2006/main" id="7" name="tbl_O2" displayName="tbl_O2" ref="A1:O2" headerRowCount="1">
  <autoFilter ref="A1:O2"/>
  <tableColumns count="15">
    <tableColumn id="1" name="RecordID"/>
    <tableColumn id="2" name="TestID"/>
    <tableColumn id="3" name="EntryType"/>
    <tableColumn id="4" name="DateEntered"/>
    <tableColumn id="5" name="TimeEntered"/>
    <tableColumn id="6" name="EnteredBy"/>
    <tableColumn id="7" name="LastModifiedDate"/>
    <tableColumn id="8" name="LastModifiedTime"/>
    <tableColumn id="9" name="LastModifiedBy"/>
    <tableColumn id="10" name="Excluded"/>
    <tableColumn id="11" name="ExcludeReason"/>
    <tableColumn id="12" name="Notes"/>
    <tableColumn id="13" name="TestType"/>
    <tableColumn id="14" name="Context"/>
    <tableColumn id="15" name="Value_Pct"/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id="8" name="tbl_DP" displayName="tbl_DP" ref="A1:U2" headerRowCount="1">
  <autoFilter ref="A1:U2"/>
  <tableColumns count="21">
    <tableColumn id="1" name="RecordID"/>
    <tableColumn id="2" name="TestID"/>
    <tableColumn id="3" name="EntryType"/>
    <tableColumn id="4" name="DateEntered"/>
    <tableColumn id="5" name="TimeEntered"/>
    <tableColumn id="6" name="EnteredBy"/>
    <tableColumn id="7" name="LastModifiedDate"/>
    <tableColumn id="8" name="LastModifiedTime"/>
    <tableColumn id="9" name="LastModifiedBy"/>
    <tableColumn id="10" name="Excluded"/>
    <tableColumn id="11" name="ExcludeReason"/>
    <tableColumn id="12" name="Notes"/>
    <tableColumn id="13" name="TestType"/>
    <tableColumn id="14" name="DP_S2"/>
    <tableColumn id="15" name="DP_S3"/>
    <tableColumn id="16" name="DP_S4"/>
    <tableColumn id="17" name="DP_S5"/>
    <tableColumn id="18" name="DPTotal"/>
    <tableColumn id="19" name="TheoryDP"/>
    <tableColumn id="20" name="PctTheory"/>
    <tableColumn id="21" name="Status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0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12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13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15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16.xml.rels><Relationships xmlns="http://schemas.openxmlformats.org/package/2006/relationships"><Relationship Type="http://schemas.openxmlformats.org/officeDocument/2006/relationships/table" Target="/xl/tables/table7.xml" Id="rId1" /></Relationships>
</file>

<file path=xl/worksheets/_rels/sheet17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sheet1.xml><?xml version="1.0" encoding="utf-8"?>
<worksheet xmlns="http://schemas.openxmlformats.org/spreadsheetml/2006/main">
  <sheetPr>
    <tabColor rgb="000E1638"/>
    <outlinePr summaryBelow="1" summaryRight="1"/>
    <pageSetUpPr/>
  </sheetPr>
  <dimension ref="B1:D46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22" customWidth="1" min="2" max="2"/>
    <col width="18" customWidth="1" min="3" max="3"/>
    <col width="18" customWidth="1" min="4" max="4"/>
    <col width="18" customWidth="1" min="5" max="5"/>
  </cols>
  <sheetData>
    <row r="1" ht="30" customHeight="1">
      <c r="B1" s="1" t="inlineStr">
        <is>
          <t>SCR Catalyst Test Report</t>
        </is>
      </c>
      <c r="C1" s="2" t="n"/>
      <c r="D1" s="2" t="n"/>
    </row>
    <row r="3" ht="24" customHeight="1">
      <c r="B3" s="3" t="inlineStr">
        <is>
          <t>Test Identity</t>
        </is>
      </c>
      <c r="C3" s="4" t="n"/>
      <c r="D3" s="4" t="n"/>
    </row>
    <row r="4" ht="16" customHeight="1">
      <c r="B4" s="5" t="inlineStr">
        <is>
          <t>LRF #</t>
        </is>
      </c>
      <c r="C4" s="6" t="n"/>
    </row>
    <row r="5" ht="16" customHeight="1">
      <c r="B5" s="5" t="inlineStr">
        <is>
          <t>Load ID</t>
        </is>
      </c>
      <c r="C5" s="6" t="n"/>
    </row>
    <row r="6" ht="16" customHeight="1">
      <c r="B6" s="5" t="inlineStr">
        <is>
          <t>Project Name</t>
        </is>
      </c>
      <c r="C6" s="6" t="n"/>
    </row>
    <row r="7" ht="16" customHeight="1">
      <c r="B7" s="5" t="inlineStr">
        <is>
          <t>Date</t>
        </is>
      </c>
      <c r="C7" s="6" t="n"/>
    </row>
    <row r="8" ht="16" customHeight="1">
      <c r="B8" s="5" t="inlineStr">
        <is>
          <t>Sample Type</t>
        </is>
      </c>
      <c r="C8" s="6" t="n"/>
    </row>
    <row r="9" ht="16" customHeight="1">
      <c r="B9" s="5" t="inlineStr">
        <is>
          <t>Active Technician</t>
        </is>
      </c>
      <c r="C9" s="6" t="n"/>
    </row>
    <row r="10" ht="16" customHeight="1">
      <c r="B10" s="5" t="inlineStr">
        <is>
          <t>SO₂ Gas On</t>
        </is>
      </c>
      <c r="C10" s="7" t="n"/>
    </row>
    <row r="11" ht="16" customHeight="1">
      <c r="B11" s="5" t="inlineStr">
        <is>
          <t>NH₃ Gas On</t>
        </is>
      </c>
      <c r="C11" s="7" t="n"/>
    </row>
    <row r="13" ht="24" customHeight="1">
      <c r="B13" s="3" t="inlineStr">
        <is>
          <t>Test Conditions</t>
        </is>
      </c>
      <c r="C13" s="4" t="n"/>
      <c r="D13" s="4" t="n"/>
    </row>
    <row r="14" ht="20" customHeight="1">
      <c r="B14" s="8" t="inlineStr">
        <is>
          <t>Variable</t>
        </is>
      </c>
      <c r="C14" s="8" t="inlineStr">
        <is>
          <t>Activity</t>
        </is>
      </c>
      <c r="D14" s="8" t="inlineStr">
        <is>
          <t>Conversion</t>
        </is>
      </c>
    </row>
    <row r="15" ht="16" customHeight="1">
      <c r="B15" s="5" t="inlineStr">
        <is>
          <t>AV</t>
        </is>
      </c>
      <c r="C15" s="6" t="n"/>
      <c r="D15" s="6" t="n"/>
    </row>
    <row r="16" ht="16" customHeight="1">
      <c r="B16" s="5" t="inlineStr">
        <is>
          <t>UGS</t>
        </is>
      </c>
      <c r="C16" s="6" t="n"/>
      <c r="D16" s="6" t="n"/>
    </row>
    <row r="17" ht="16" customHeight="1">
      <c r="B17" s="5" t="inlineStr">
        <is>
          <t>Temperature (°C)</t>
        </is>
      </c>
      <c r="C17" s="6" t="n"/>
      <c r="D17" s="6" t="n"/>
    </row>
    <row r="18" ht="16" customHeight="1">
      <c r="B18" s="5" t="inlineStr">
        <is>
          <t>H₂O (%)</t>
        </is>
      </c>
      <c r="C18" s="6" t="n"/>
      <c r="D18" s="6" t="n"/>
    </row>
    <row r="19" ht="16" customHeight="1">
      <c r="B19" s="5" t="inlineStr">
        <is>
          <t>O₂ (%)</t>
        </is>
      </c>
      <c r="C19" s="6" t="n"/>
      <c r="D19" s="6" t="n"/>
    </row>
    <row r="20" ht="16" customHeight="1">
      <c r="B20" s="5" t="inlineStr">
        <is>
          <t>SO₂ (ppmvd)</t>
        </is>
      </c>
      <c r="C20" s="6" t="n"/>
      <c r="D20" s="6" t="n"/>
    </row>
    <row r="21" ht="16" customHeight="1">
      <c r="B21" s="5" t="inlineStr">
        <is>
          <t>SO₃ (ppmvd)</t>
        </is>
      </c>
      <c r="C21" s="6" t="n"/>
      <c r="D21" s="6" t="n"/>
    </row>
    <row r="22" ht="16" customHeight="1">
      <c r="B22" s="5" t="inlineStr">
        <is>
          <t>NOx (ppmvd)</t>
        </is>
      </c>
      <c r="C22" s="6" t="n"/>
      <c r="D22" s="6" t="n"/>
    </row>
    <row r="23" ht="16" customHeight="1">
      <c r="B23" s="5" t="inlineStr">
        <is>
          <t>MR</t>
        </is>
      </c>
      <c r="C23" s="6" t="n"/>
      <c r="D23" s="6" t="n"/>
    </row>
    <row r="24" ht="16" customHeight="1">
      <c r="B24" s="5" t="inlineStr">
        <is>
          <t>Flow Source / Status</t>
        </is>
      </c>
      <c r="C24" s="9">
        <f>GC_Flow_Act_Status</f>
        <v/>
      </c>
      <c r="D24" s="9">
        <f>GC_Flow_Conv_Status</f>
        <v/>
      </c>
    </row>
    <row r="25" ht="16" customHeight="1">
      <c r="B25" s="5" t="inlineStr">
        <is>
          <t>Flow (Nm³/h)</t>
        </is>
      </c>
      <c r="C25" s="9">
        <f>GC_Flow_Act_Nm3h</f>
        <v/>
      </c>
      <c r="D25" s="9">
        <f>GC_Flow_Conv_Nm3h</f>
        <v/>
      </c>
    </row>
    <row r="28" ht="24" customHeight="1">
      <c r="B28" s="3" t="inlineStr">
        <is>
          <t>Workflow</t>
        </is>
      </c>
      <c r="C28" s="4" t="n"/>
      <c r="D28" s="4" t="n"/>
    </row>
    <row r="29" ht="16" customHeight="1">
      <c r="B29" s="10" t="inlineStr">
        <is>
          <t>[ Set Up Geometry ]</t>
        </is>
      </c>
      <c r="C29" s="11" t="n"/>
      <c r="D29" s="11" t="n"/>
    </row>
    <row r="30" ht="16" customHeight="1">
      <c r="B30" s="10" t="inlineStr">
        <is>
          <t>[ Open Setup Summary ]</t>
        </is>
      </c>
      <c r="C30" s="11" t="n"/>
      <c r="D30" s="11" t="n"/>
    </row>
    <row r="31" ht="16" customHeight="1">
      <c r="B31" s="10" t="inlineStr">
        <is>
          <t>[ Verify Setup ]</t>
        </is>
      </c>
      <c r="C31" s="11" t="n"/>
      <c r="D31" s="11" t="n"/>
    </row>
    <row r="32" ht="16" customHeight="1">
      <c r="B32" s="10" t="inlineStr">
        <is>
          <t>[ Begin Test ]</t>
        </is>
      </c>
      <c r="C32" s="11" t="n"/>
      <c r="D32" s="11" t="n"/>
    </row>
    <row r="33" ht="16" customHeight="1">
      <c r="B33" s="10" t="inlineStr">
        <is>
          <t>[ New Test ]</t>
        </is>
      </c>
      <c r="C33" s="11" t="n"/>
      <c r="D33" s="11" t="n"/>
    </row>
    <row r="36" ht="24" customHeight="1">
      <c r="B36" s="3" t="inlineStr">
        <is>
          <t>Readiness Status</t>
        </is>
      </c>
      <c r="C36" s="4" t="n"/>
    </row>
    <row r="37" ht="16" customHeight="1">
      <c r="B37" s="5" t="inlineStr">
        <is>
          <t>Sample type selected</t>
        </is>
      </c>
      <c r="C37" s="9" t="inlineStr">
        <is>
          <t>—</t>
        </is>
      </c>
    </row>
    <row r="38" ht="16" customHeight="1">
      <c r="B38" s="5" t="inlineStr">
        <is>
          <t>Geometry entered</t>
        </is>
      </c>
      <c r="C38" s="9" t="inlineStr">
        <is>
          <t>—</t>
        </is>
      </c>
    </row>
    <row r="39" ht="16" customHeight="1">
      <c r="B39" s="5" t="inlineStr">
        <is>
          <t>Geometry resolved</t>
        </is>
      </c>
      <c r="C39" s="9" t="inlineStr">
        <is>
          <t>—</t>
        </is>
      </c>
    </row>
    <row r="40" ht="16" customHeight="1">
      <c r="B40" s="5" t="inlineStr">
        <is>
          <t>Flow resolved</t>
        </is>
      </c>
      <c r="C40" s="9" t="inlineStr">
        <is>
          <t>—</t>
        </is>
      </c>
    </row>
    <row r="41" ht="16" customHeight="1">
      <c r="B41" s="5" t="inlineStr">
        <is>
          <t>Primary verification complete</t>
        </is>
      </c>
      <c r="C41" s="9" t="inlineStr">
        <is>
          <t>—</t>
        </is>
      </c>
    </row>
    <row r="42" ht="16" customHeight="1">
      <c r="B42" s="5" t="inlineStr">
        <is>
          <t>Secondary verification complete</t>
        </is>
      </c>
      <c r="C42" s="9" t="inlineStr">
        <is>
          <t>—</t>
        </is>
      </c>
    </row>
    <row r="43" ht="16" customHeight="1">
      <c r="B43" s="5" t="inlineStr">
        <is>
          <t>Ready to begin test</t>
        </is>
      </c>
      <c r="C43" s="9" t="inlineStr">
        <is>
          <t>—</t>
        </is>
      </c>
    </row>
    <row r="44" ht="16" customHeight="1">
      <c r="B44" s="5" t="inlineStr">
        <is>
          <t>Activity data present</t>
        </is>
      </c>
      <c r="C44" s="9" t="inlineStr">
        <is>
          <t>—</t>
        </is>
      </c>
    </row>
    <row r="45" ht="16" customHeight="1">
      <c r="B45" s="5" t="inlineStr">
        <is>
          <t>Conversion data present</t>
        </is>
      </c>
      <c r="C45" s="9" t="inlineStr">
        <is>
          <t>—</t>
        </is>
      </c>
    </row>
    <row r="46" ht="16" customHeight="1">
      <c r="B46" s="5" t="inlineStr">
        <is>
          <t>DP data present</t>
        </is>
      </c>
      <c r="C46" s="9" t="inlineStr">
        <is>
          <t>—</t>
        </is>
      </c>
    </row>
  </sheetData>
  <mergeCells count="10">
    <mergeCell ref="B33:D33"/>
    <mergeCell ref="B28:D28"/>
    <mergeCell ref="B3:D3"/>
    <mergeCell ref="B31:D31"/>
    <mergeCell ref="B1:D1"/>
    <mergeCell ref="B32:D32"/>
    <mergeCell ref="B13:D13"/>
    <mergeCell ref="B36:C36"/>
    <mergeCell ref="B30:D30"/>
    <mergeCell ref="B29:D29"/>
  </mergeCells>
  <dataValidations count="2">
    <dataValidation sqref="C8" showDropDown="0" showInputMessage="0" showErrorMessage="0" allowBlank="1" type="list">
      <formula1>=List_SampleType</formula1>
    </dataValidation>
    <dataValidation sqref="C9" showDropDown="0" showInputMessage="0" showErrorMessage="0" allowBlank="1" type="list">
      <formula1>=List_Technicians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1:D17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30" customWidth="1" min="2" max="2"/>
    <col width="15" customWidth="1" min="3" max="3"/>
    <col width="40" customWidth="1" min="4" max="4"/>
  </cols>
  <sheetData>
    <row r="1" ht="24" customHeight="1">
      <c r="B1" s="1" t="inlineStr">
        <is>
          <t>Specifications &amp; Thresholds</t>
        </is>
      </c>
      <c r="C1" s="2" t="n"/>
      <c r="D1" s="2" t="n"/>
    </row>
    <row r="3" ht="20" customHeight="1">
      <c r="B3" s="8" t="inlineStr">
        <is>
          <t>Parameter</t>
        </is>
      </c>
      <c r="C3" s="8" t="inlineStr">
        <is>
          <t>Value</t>
        </is>
      </c>
      <c r="D3" s="8" t="inlineStr">
        <is>
          <t>Description</t>
        </is>
      </c>
    </row>
    <row r="4" ht="16" customHeight="1">
      <c r="B4" s="5" t="inlineStr">
        <is>
          <t>Spec_Temp_Tolerance_C</t>
        </is>
      </c>
      <c r="C4" s="6" t="n">
        <v>5</v>
      </c>
      <c r="D4" s="12" t="inlineStr">
        <is>
          <t>Temperature tolerance (±°C)</t>
        </is>
      </c>
    </row>
    <row r="5" ht="16" customHeight="1">
      <c r="B5" s="5" t="inlineStr">
        <is>
          <t>Spec_Flow_Tolerance_Pct</t>
        </is>
      </c>
      <c r="C5" s="6" t="n">
        <v>5</v>
      </c>
      <c r="D5" s="12" t="inlineStr">
        <is>
          <t>Flow tolerance (±%)</t>
        </is>
      </c>
    </row>
    <row r="6" ht="16" customHeight="1">
      <c r="B6" s="5" t="inlineStr">
        <is>
          <t>Spec_O2_Tolerance_Pct</t>
        </is>
      </c>
      <c r="C6" s="6" t="n">
        <v>0.5</v>
      </c>
      <c r="D6" s="12" t="inlineStr">
        <is>
          <t>O₂ tolerance (±%)</t>
        </is>
      </c>
    </row>
    <row r="7" ht="16" customHeight="1">
      <c r="B7" s="5" t="inlineStr">
        <is>
          <t>Spec_NOx_Tolerance_Pct</t>
        </is>
      </c>
      <c r="C7" s="6" t="n">
        <v>5</v>
      </c>
      <c r="D7" s="12" t="inlineStr">
        <is>
          <t>NOx tolerance (±%)</t>
        </is>
      </c>
    </row>
    <row r="8" ht="16" customHeight="1">
      <c r="B8" s="5" t="inlineStr">
        <is>
          <t>Spec_SO2_Tolerance_Pct</t>
        </is>
      </c>
      <c r="C8" s="6" t="n">
        <v>10</v>
      </c>
      <c r="D8" s="12" t="inlineStr">
        <is>
          <t>SO₂ tolerance (±%)</t>
        </is>
      </c>
    </row>
    <row r="9" ht="16" customHeight="1">
      <c r="B9" s="5" t="inlineStr">
        <is>
          <t>Spec_NH3_Tolerance_Pct</t>
        </is>
      </c>
      <c r="C9" s="6" t="n">
        <v>10</v>
      </c>
      <c r="D9" s="12" t="inlineStr">
        <is>
          <t>NH₃ tolerance (±%)</t>
        </is>
      </c>
    </row>
    <row r="10" ht="16" customHeight="1">
      <c r="B10" s="5" t="inlineStr">
        <is>
          <t>Spec_MR_Tolerance</t>
        </is>
      </c>
      <c r="C10" s="6" t="n">
        <v>0.02</v>
      </c>
      <c r="D10" s="12" t="inlineStr">
        <is>
          <t>MR tolerance (±)</t>
        </is>
      </c>
    </row>
    <row r="11" ht="16" customHeight="1">
      <c r="B11" s="5" t="inlineStr">
        <is>
          <t>Spec_SS_MinPoints</t>
        </is>
      </c>
      <c r="C11" s="6" t="n">
        <v>4</v>
      </c>
      <c r="D11" s="12" t="inlineStr">
        <is>
          <t>Steady-state min points</t>
        </is>
      </c>
    </row>
    <row r="12" ht="16" customHeight="1">
      <c r="B12" s="5" t="inlineStr">
        <is>
          <t>Spec_SS_K_StdDev_Max</t>
        </is>
      </c>
      <c r="C12" s="6" t="n">
        <v>0.05</v>
      </c>
      <c r="D12" s="12" t="inlineStr">
        <is>
          <t>K StdDev threshold for steady-state</t>
        </is>
      </c>
    </row>
    <row r="13" ht="16" customHeight="1">
      <c r="B13" s="5" t="inlineStr">
        <is>
          <t>Spec_SS_NormSlope_Max</t>
        </is>
      </c>
      <c r="C13" s="6" t="n">
        <v>0.02</v>
      </c>
      <c r="D13" s="12" t="inlineStr">
        <is>
          <t>Normalized slope threshold</t>
        </is>
      </c>
    </row>
    <row r="14" ht="16" customHeight="1">
      <c r="B14" s="5" t="inlineStr">
        <is>
          <t>Spec_SS_Conv_StdDev_Max</t>
        </is>
      </c>
      <c r="C14" s="6" t="n">
        <v>2</v>
      </c>
      <c r="D14" s="12" t="inlineStr">
        <is>
          <t>Conversion StdDev threshold (%)</t>
        </is>
      </c>
    </row>
    <row r="15" ht="16" customHeight="1">
      <c r="B15" s="5" t="inlineStr">
        <is>
          <t>Spec_SS_Conv_NormSlope_Max</t>
        </is>
      </c>
      <c r="C15" s="6" t="n">
        <v>0.02</v>
      </c>
      <c r="D15" s="12" t="inlineStr">
        <is>
          <t>Conversion normalized slope threshold</t>
        </is>
      </c>
    </row>
    <row r="16" ht="16" customHeight="1">
      <c r="B16" s="5" t="inlineStr">
        <is>
          <t>Spec_DP_PctTheory_Warning</t>
        </is>
      </c>
      <c r="C16" s="6" t="n">
        <v>120</v>
      </c>
      <c r="D16" s="12" t="inlineStr">
        <is>
          <t>DP % Theory warning threshold</t>
        </is>
      </c>
    </row>
    <row r="17" ht="16" customHeight="1">
      <c r="B17" s="5" t="inlineStr">
        <is>
          <t>Spec_DP_PctTheory_Fail</t>
        </is>
      </c>
      <c r="C17" s="6" t="n">
        <v>150</v>
      </c>
      <c r="D17" s="12" t="inlineStr">
        <is>
          <t>DP % Theory fail threshold</t>
        </is>
      </c>
    </row>
  </sheetData>
  <mergeCells count="1">
    <mergeCell ref="B1:D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B1:K20"/>
  <sheetViews>
    <sheetView showGridLines="0"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14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4" customWidth="1" min="10" max="10"/>
    <col width="14" customWidth="1" min="11" max="11"/>
  </cols>
  <sheetData>
    <row r="1" ht="24" customHeight="1">
      <c r="B1" s="1" t="inlineStr">
        <is>
          <t>Honeycomb Geometry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</row>
    <row r="2">
      <c r="B2" s="13" t="inlineStr">
        <is>
          <t>Enter measurements for each active layer</t>
        </is>
      </c>
      <c r="C2" s="14" t="n"/>
      <c r="D2" s="14" t="n"/>
      <c r="E2" s="14" t="n"/>
      <c r="F2" s="14" t="n"/>
      <c r="G2" s="14" t="n"/>
      <c r="H2" s="14" t="n"/>
      <c r="I2" s="14" t="n"/>
      <c r="J2" s="14" t="n"/>
      <c r="K2" s="14" t="n"/>
    </row>
    <row r="4" ht="24" customHeight="1">
      <c r="B4" s="8" t="inlineStr">
        <is>
          <t>Layer</t>
        </is>
      </c>
      <c r="C4" s="8" t="inlineStr">
        <is>
          <t>Product Type</t>
        </is>
      </c>
      <c r="D4" s="8" t="inlineStr">
        <is>
          <t>AP Override</t>
        </is>
      </c>
      <c r="E4" s="8" t="inlineStr">
        <is>
          <t>Length (mm)</t>
        </is>
      </c>
      <c r="F4" s="8" t="inlineStr">
        <is>
          <t>Cells A</t>
        </is>
      </c>
      <c r="G4" s="8" t="inlineStr">
        <is>
          <t>Cells B</t>
        </is>
      </c>
      <c r="H4" s="8" t="inlineStr">
        <is>
          <t>Width A (mm)</t>
        </is>
      </c>
      <c r="I4" s="8" t="inlineStr">
        <is>
          <t>Width B (mm)</t>
        </is>
      </c>
      <c r="J4" s="8" t="inlineStr">
        <is>
          <t>Plugged Cells</t>
        </is>
      </c>
      <c r="K4" s="8" t="inlineStr">
        <is>
          <t>Status</t>
        </is>
      </c>
    </row>
    <row r="5" ht="16" customHeight="1">
      <c r="B5" s="15" t="n">
        <v>1</v>
      </c>
      <c r="C5" s="6" t="n"/>
      <c r="D5" s="6" t="n"/>
      <c r="E5" s="6" t="n"/>
      <c r="F5" s="6" t="n"/>
      <c r="G5" s="6" t="n"/>
      <c r="H5" s="6" t="n"/>
      <c r="I5" s="6" t="n"/>
      <c r="J5" s="6" t="n"/>
      <c r="K5" s="9">
        <f>IF('Geometry Calc'!C18,"Active","")</f>
        <v/>
      </c>
    </row>
    <row r="6" ht="16" customHeight="1">
      <c r="B6" s="15" t="n">
        <v>2</v>
      </c>
      <c r="C6" s="6" t="n"/>
      <c r="D6" s="6" t="n"/>
      <c r="E6" s="6" t="n"/>
      <c r="F6" s="6" t="n"/>
      <c r="G6" s="6" t="n"/>
      <c r="H6" s="6" t="n"/>
      <c r="I6" s="6" t="n"/>
      <c r="J6" s="6" t="n"/>
      <c r="K6" s="9">
        <f>IF('Geometry Calc'!D18,"Active","")</f>
        <v/>
      </c>
    </row>
    <row r="7" ht="16" customHeight="1">
      <c r="B7" s="15" t="n">
        <v>3</v>
      </c>
      <c r="C7" s="6" t="n"/>
      <c r="D7" s="6" t="n"/>
      <c r="E7" s="6" t="n"/>
      <c r="F7" s="6" t="n"/>
      <c r="G7" s="6" t="n"/>
      <c r="H7" s="6" t="n"/>
      <c r="I7" s="6" t="n"/>
      <c r="J7" s="6" t="n"/>
      <c r="K7" s="9">
        <f>IF('Geometry Calc'!E18,"Active","")</f>
        <v/>
      </c>
    </row>
    <row r="8" ht="16" customHeight="1">
      <c r="B8" s="15" t="n">
        <v>4</v>
      </c>
      <c r="C8" s="6" t="n"/>
      <c r="D8" s="6" t="n"/>
      <c r="E8" s="6" t="n"/>
      <c r="F8" s="6" t="n"/>
      <c r="G8" s="6" t="n"/>
      <c r="H8" s="6" t="n"/>
      <c r="I8" s="6" t="n"/>
      <c r="J8" s="6" t="n"/>
      <c r="K8" s="9">
        <f>IF('Geometry Calc'!F18,"Active","")</f>
        <v/>
      </c>
    </row>
    <row r="9" ht="16" customHeight="1">
      <c r="B9" s="15" t="n">
        <v>5</v>
      </c>
      <c r="C9" s="6" t="n"/>
      <c r="D9" s="6" t="n"/>
      <c r="E9" s="6" t="n"/>
      <c r="F9" s="6" t="n"/>
      <c r="G9" s="6" t="n"/>
      <c r="H9" s="6" t="n"/>
      <c r="I9" s="6" t="n"/>
      <c r="J9" s="6" t="n"/>
      <c r="K9" s="9">
        <f>IF('Geometry Calc'!G18,"Active","")</f>
        <v/>
      </c>
    </row>
    <row r="10" ht="16" customHeight="1">
      <c r="B10" s="15" t="n">
        <v>6</v>
      </c>
      <c r="C10" s="6" t="n"/>
      <c r="D10" s="6" t="n"/>
      <c r="E10" s="6" t="n"/>
      <c r="F10" s="6" t="n"/>
      <c r="G10" s="6" t="n"/>
      <c r="H10" s="6" t="n"/>
      <c r="I10" s="6" t="n"/>
      <c r="J10" s="6" t="n"/>
      <c r="K10" s="9">
        <f>IF('Geometry Calc'!H18,"Active","")</f>
        <v/>
      </c>
    </row>
    <row r="13" ht="24" customHeight="1">
      <c r="B13" s="3" t="inlineStr">
        <is>
          <t>Resolved Outputs (read-only)</t>
        </is>
      </c>
      <c r="C13" s="4" t="n"/>
      <c r="D13" s="4" t="n"/>
      <c r="E13" s="4" t="n"/>
    </row>
    <row r="14" ht="16" customHeight="1">
      <c r="B14" s="5" t="inlineStr">
        <is>
          <t>Total Active Layers</t>
        </is>
      </c>
      <c r="C14" s="11" t="n"/>
      <c r="D14" s="9">
        <f>GC_ActiveLayers</f>
        <v/>
      </c>
    </row>
    <row r="15" ht="16" customHeight="1">
      <c r="B15" s="5" t="inlineStr">
        <is>
          <t>Avg Adjusted FFA (m²)</t>
        </is>
      </c>
      <c r="C15" s="11" t="n"/>
      <c r="D15" s="9">
        <f>GC_AvgAdjFFA</f>
        <v/>
      </c>
    </row>
    <row r="16" ht="16" customHeight="1">
      <c r="B16" s="5" t="inlineStr">
        <is>
          <t>Total Adjusted Area (m²)</t>
        </is>
      </c>
      <c r="C16" s="11" t="n"/>
      <c r="D16" s="9">
        <f>GC_TotalAdjArea</f>
        <v/>
      </c>
    </row>
    <row r="17" ht="16" customHeight="1">
      <c r="B17" s="5" t="inlineStr">
        <is>
          <t>Pitch (mm)</t>
        </is>
      </c>
      <c r="C17" s="11" t="n"/>
      <c r="D17" s="9">
        <f>'Geometry Calc'!C21</f>
        <v/>
      </c>
    </row>
    <row r="18" ht="16" customHeight="1">
      <c r="B18" s="5" t="inlineStr">
        <is>
          <t>Hydraulic Diameter (mm)</t>
        </is>
      </c>
      <c r="C18" s="11" t="n"/>
      <c r="D18" s="9">
        <f>'Geometry Calc'!C22</f>
        <v/>
      </c>
    </row>
    <row r="20">
      <c r="B20" s="10" t="inlineStr">
        <is>
          <t>[ Back to Home ]</t>
        </is>
      </c>
      <c r="C20" s="11" t="n"/>
      <c r="D20" s="11" t="n"/>
    </row>
  </sheetData>
  <mergeCells count="9">
    <mergeCell ref="B16:C16"/>
    <mergeCell ref="B1:K1"/>
    <mergeCell ref="B15:C15"/>
    <mergeCell ref="B13:E13"/>
    <mergeCell ref="B14:C14"/>
    <mergeCell ref="B2:K2"/>
    <mergeCell ref="B18:C18"/>
    <mergeCell ref="B17:C17"/>
    <mergeCell ref="B20:D20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1:F45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</cols>
  <sheetData>
    <row r="1" ht="24" customHeight="1">
      <c r="B1" s="1" t="inlineStr">
        <is>
          <t>Plate Geometry</t>
        </is>
      </c>
      <c r="C1" s="2" t="n"/>
      <c r="D1" s="2" t="n"/>
      <c r="E1" s="2" t="n"/>
      <c r="F1" s="2" t="n"/>
    </row>
    <row r="3">
      <c r="B3" s="5" t="inlineStr">
        <is>
          <t>Total Plates</t>
        </is>
      </c>
      <c r="C3" s="6" t="n"/>
    </row>
    <row r="5" ht="24" customHeight="1">
      <c r="B5" s="3" t="inlineStr">
        <is>
          <t>Box 1 Measurements</t>
        </is>
      </c>
      <c r="C5" s="4" t="n"/>
      <c r="D5" s="4" t="n"/>
      <c r="E5" s="4" t="n"/>
      <c r="F5" s="4" t="n"/>
    </row>
    <row r="6" ht="20" customHeight="1">
      <c r="B6" s="8" t="inlineStr">
        <is>
          <t>Plate #</t>
        </is>
      </c>
      <c r="C6" s="8" t="inlineStr">
        <is>
          <t>Length (mm)</t>
        </is>
      </c>
      <c r="D6" s="8" t="inlineStr">
        <is>
          <t>Thickness (mm)</t>
        </is>
      </c>
      <c r="E6" s="8" t="inlineStr">
        <is>
          <t>Width A (mm)</t>
        </is>
      </c>
      <c r="F6" s="8" t="inlineStr">
        <is>
          <t>Width B (mm)</t>
        </is>
      </c>
    </row>
    <row r="7" ht="16" customHeight="1">
      <c r="B7" s="15" t="n">
        <v>1</v>
      </c>
      <c r="C7" s="16" t="n"/>
      <c r="D7" s="16" t="n"/>
      <c r="E7" s="16" t="n"/>
      <c r="F7" s="16" t="n"/>
    </row>
    <row r="8" ht="16" customHeight="1">
      <c r="B8" s="15" t="n">
        <v>2</v>
      </c>
      <c r="C8" s="16" t="n"/>
      <c r="D8" s="16" t="n"/>
      <c r="E8" s="16" t="n"/>
      <c r="F8" s="16" t="n"/>
    </row>
    <row r="9" ht="16" customHeight="1">
      <c r="B9" s="15" t="n">
        <v>3</v>
      </c>
      <c r="C9" s="16" t="n"/>
      <c r="D9" s="16" t="n"/>
      <c r="E9" s="16" t="n"/>
      <c r="F9" s="16" t="n"/>
    </row>
    <row r="10" ht="16" customHeight="1">
      <c r="B10" s="15" t="n">
        <v>4</v>
      </c>
      <c r="C10" s="16" t="n"/>
      <c r="D10" s="16" t="n"/>
      <c r="E10" s="16" t="n"/>
      <c r="F10" s="16" t="n"/>
    </row>
    <row r="11" ht="16" customHeight="1">
      <c r="B11" s="15" t="n">
        <v>5</v>
      </c>
      <c r="C11" s="16" t="n"/>
      <c r="D11" s="16" t="n"/>
      <c r="E11" s="16" t="n"/>
      <c r="F11" s="16" t="n"/>
    </row>
    <row r="12" ht="16" customHeight="1">
      <c r="B12" s="15" t="n">
        <v>6</v>
      </c>
      <c r="C12" s="16" t="n"/>
      <c r="D12" s="16" t="n"/>
      <c r="E12" s="16" t="n"/>
      <c r="F12" s="16" t="n"/>
    </row>
    <row r="13" ht="16" customHeight="1">
      <c r="B13" s="15" t="n">
        <v>7</v>
      </c>
      <c r="C13" s="16" t="n"/>
      <c r="D13" s="16" t="n"/>
      <c r="E13" s="16" t="n"/>
      <c r="F13" s="16" t="n"/>
    </row>
    <row r="14" ht="16" customHeight="1">
      <c r="B14" s="15" t="n">
        <v>8</v>
      </c>
      <c r="C14" s="16" t="n"/>
      <c r="D14" s="16" t="n"/>
      <c r="E14" s="16" t="n"/>
      <c r="F14" s="16" t="n"/>
    </row>
    <row r="15" ht="16" customHeight="1">
      <c r="B15" s="15" t="n">
        <v>9</v>
      </c>
      <c r="C15" s="16" t="n"/>
      <c r="D15" s="16" t="n"/>
      <c r="E15" s="16" t="n"/>
      <c r="F15" s="16" t="n"/>
    </row>
    <row r="16" ht="16" customHeight="1">
      <c r="B16" s="15" t="n">
        <v>10</v>
      </c>
      <c r="C16" s="16" t="n"/>
      <c r="D16" s="16" t="n"/>
      <c r="E16" s="16" t="n"/>
      <c r="F16" s="16" t="n"/>
    </row>
    <row r="17" ht="16" customHeight="1">
      <c r="B17" s="15" t="n">
        <v>11</v>
      </c>
      <c r="C17" s="16" t="n"/>
      <c r="D17" s="16" t="n"/>
      <c r="E17" s="16" t="n"/>
      <c r="F17" s="16" t="n"/>
    </row>
    <row r="18" ht="16" customHeight="1">
      <c r="B18" s="15" t="n">
        <v>12</v>
      </c>
      <c r="C18" s="16" t="n"/>
      <c r="D18" s="16" t="n"/>
      <c r="E18" s="16" t="n"/>
      <c r="F18" s="16" t="n"/>
    </row>
    <row r="19" ht="16" customHeight="1">
      <c r="B19" s="15" t="n">
        <v>13</v>
      </c>
      <c r="C19" s="16" t="n"/>
      <c r="D19" s="16" t="n"/>
      <c r="E19" s="16" t="n"/>
      <c r="F19" s="16" t="n"/>
    </row>
    <row r="20">
      <c r="B20" s="15" t="inlineStr">
        <is>
          <t>Average</t>
        </is>
      </c>
      <c r="C20" s="17">
        <f>AVERAGE(C7:C19)</f>
        <v/>
      </c>
      <c r="D20" s="17">
        <f>AVERAGE(D7:D19)</f>
        <v/>
      </c>
      <c r="E20" s="17">
        <f>AVERAGE(E7:E19)</f>
        <v/>
      </c>
      <c r="F20" s="17">
        <f>AVERAGE(F7:F19)</f>
        <v/>
      </c>
    </row>
    <row r="22" ht="24" customHeight="1">
      <c r="B22" s="3" t="inlineStr">
        <is>
          <t>Box 2 Measurements</t>
        </is>
      </c>
      <c r="C22" s="4" t="n"/>
      <c r="D22" s="4" t="n"/>
      <c r="E22" s="4" t="n"/>
      <c r="F22" s="4" t="n"/>
    </row>
    <row r="23" ht="20" customHeight="1">
      <c r="B23" s="8" t="inlineStr">
        <is>
          <t>Plate #</t>
        </is>
      </c>
      <c r="C23" s="8" t="inlineStr">
        <is>
          <t>Length (mm)</t>
        </is>
      </c>
      <c r="D23" s="8" t="inlineStr">
        <is>
          <t>Thickness (mm)</t>
        </is>
      </c>
      <c r="E23" s="8" t="inlineStr">
        <is>
          <t>Width A (mm)</t>
        </is>
      </c>
      <c r="F23" s="8" t="inlineStr">
        <is>
          <t>Width B (mm)</t>
        </is>
      </c>
    </row>
    <row r="24" ht="16" customHeight="1">
      <c r="B24" s="15" t="n">
        <v>1</v>
      </c>
      <c r="C24" s="16" t="n"/>
      <c r="D24" s="16" t="n"/>
      <c r="E24" s="16" t="n"/>
      <c r="F24" s="16" t="n"/>
    </row>
    <row r="25" ht="16" customHeight="1">
      <c r="B25" s="15" t="n">
        <v>2</v>
      </c>
      <c r="C25" s="16" t="n"/>
      <c r="D25" s="16" t="n"/>
      <c r="E25" s="16" t="n"/>
      <c r="F25" s="16" t="n"/>
    </row>
    <row r="26" ht="16" customHeight="1">
      <c r="B26" s="15" t="n">
        <v>3</v>
      </c>
      <c r="C26" s="16" t="n"/>
      <c r="D26" s="16" t="n"/>
      <c r="E26" s="16" t="n"/>
      <c r="F26" s="16" t="n"/>
    </row>
    <row r="27" ht="16" customHeight="1">
      <c r="B27" s="15" t="n">
        <v>4</v>
      </c>
      <c r="C27" s="16" t="n"/>
      <c r="D27" s="16" t="n"/>
      <c r="E27" s="16" t="n"/>
      <c r="F27" s="16" t="n"/>
    </row>
    <row r="28" ht="16" customHeight="1">
      <c r="B28" s="15" t="n">
        <v>5</v>
      </c>
      <c r="C28" s="16" t="n"/>
      <c r="D28" s="16" t="n"/>
      <c r="E28" s="16" t="n"/>
      <c r="F28" s="16" t="n"/>
    </row>
    <row r="29" ht="16" customHeight="1">
      <c r="B29" s="15" t="n">
        <v>6</v>
      </c>
      <c r="C29" s="16" t="n"/>
      <c r="D29" s="16" t="n"/>
      <c r="E29" s="16" t="n"/>
      <c r="F29" s="16" t="n"/>
    </row>
    <row r="30" ht="16" customHeight="1">
      <c r="B30" s="15" t="n">
        <v>7</v>
      </c>
      <c r="C30" s="16" t="n"/>
      <c r="D30" s="16" t="n"/>
      <c r="E30" s="16" t="n"/>
      <c r="F30" s="16" t="n"/>
    </row>
    <row r="31" ht="16" customHeight="1">
      <c r="B31" s="15" t="n">
        <v>8</v>
      </c>
      <c r="C31" s="16" t="n"/>
      <c r="D31" s="16" t="n"/>
      <c r="E31" s="16" t="n"/>
      <c r="F31" s="16" t="n"/>
    </row>
    <row r="32" ht="16" customHeight="1">
      <c r="B32" s="15" t="n">
        <v>9</v>
      </c>
      <c r="C32" s="16" t="n"/>
      <c r="D32" s="16" t="n"/>
      <c r="E32" s="16" t="n"/>
      <c r="F32" s="16" t="n"/>
    </row>
    <row r="33" ht="16" customHeight="1">
      <c r="B33" s="15" t="n">
        <v>10</v>
      </c>
      <c r="C33" s="16" t="n"/>
      <c r="D33" s="16" t="n"/>
      <c r="E33" s="16" t="n"/>
      <c r="F33" s="16" t="n"/>
    </row>
    <row r="34" ht="16" customHeight="1">
      <c r="B34" s="15" t="n">
        <v>11</v>
      </c>
      <c r="C34" s="16" t="n"/>
      <c r="D34" s="16" t="n"/>
      <c r="E34" s="16" t="n"/>
      <c r="F34" s="16" t="n"/>
    </row>
    <row r="35" ht="16" customHeight="1">
      <c r="B35" s="15" t="n">
        <v>12</v>
      </c>
      <c r="C35" s="16" t="n"/>
      <c r="D35" s="16" t="n"/>
      <c r="E35" s="16" t="n"/>
      <c r="F35" s="16" t="n"/>
    </row>
    <row r="36" ht="16" customHeight="1">
      <c r="B36" s="15" t="n">
        <v>13</v>
      </c>
      <c r="C36" s="16" t="n"/>
      <c r="D36" s="16" t="n"/>
      <c r="E36" s="16" t="n"/>
      <c r="F36" s="16" t="n"/>
    </row>
    <row r="37">
      <c r="B37" s="15" t="inlineStr">
        <is>
          <t>Average</t>
        </is>
      </c>
      <c r="C37" s="17">
        <f>AVERAGE(C24:C36)</f>
        <v/>
      </c>
      <c r="D37" s="17">
        <f>AVERAGE(D24:D36)</f>
        <v/>
      </c>
      <c r="E37" s="17">
        <f>AVERAGE(E24:E36)</f>
        <v/>
      </c>
      <c r="F37" s="17">
        <f>AVERAGE(F24:F36)</f>
        <v/>
      </c>
    </row>
    <row r="39" ht="24" customHeight="1">
      <c r="B39" s="3" t="inlineStr">
        <is>
          <t>Combined Summary (read-only)</t>
        </is>
      </c>
      <c r="C39" s="4" t="n"/>
      <c r="D39" s="4" t="n"/>
      <c r="E39" s="4" t="n"/>
    </row>
    <row r="40" ht="16" customHeight="1">
      <c r="B40" s="5" t="inlineStr">
        <is>
          <t>Overall Average Length</t>
        </is>
      </c>
      <c r="C40" s="11" t="n"/>
      <c r="D40" s="17">
        <f>AVERAGE(C20,C37)</f>
        <v/>
      </c>
    </row>
    <row r="41" ht="16" customHeight="1">
      <c r="B41" s="5" t="inlineStr">
        <is>
          <t>Overall Average Thickness</t>
        </is>
      </c>
      <c r="C41" s="11" t="n"/>
      <c r="D41" s="17">
        <f>AVERAGE(D20,D37)</f>
        <v/>
      </c>
    </row>
    <row r="42" ht="16" customHeight="1">
      <c r="B42" s="5" t="inlineStr">
        <is>
          <t>Overall Average Width A</t>
        </is>
      </c>
      <c r="C42" s="11" t="n"/>
      <c r="D42" s="17">
        <f>AVERAGE(E20,E37)</f>
        <v/>
      </c>
    </row>
    <row r="43" ht="16" customHeight="1">
      <c r="B43" s="5" t="inlineStr">
        <is>
          <t>Overall Average Width B</t>
        </is>
      </c>
      <c r="C43" s="11" t="n"/>
      <c r="D43" s="17">
        <f>AVERAGE(F20,F37)</f>
        <v/>
      </c>
    </row>
    <row r="45">
      <c r="B45" s="10" t="inlineStr">
        <is>
          <t>[ Back to Home ]</t>
        </is>
      </c>
      <c r="C45" s="11" t="n"/>
      <c r="D45" s="11" t="n"/>
    </row>
  </sheetData>
  <mergeCells count="9">
    <mergeCell ref="B45:D45"/>
    <mergeCell ref="B41:C41"/>
    <mergeCell ref="B5:F5"/>
    <mergeCell ref="B42:C42"/>
    <mergeCell ref="B39:E39"/>
    <mergeCell ref="B22:F22"/>
    <mergeCell ref="B40:C40"/>
    <mergeCell ref="B1:F1"/>
    <mergeCell ref="B43:C43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1:H17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4" customWidth="1" min="7" max="7"/>
    <col width="14" customWidth="1" min="8" max="8"/>
  </cols>
  <sheetData>
    <row r="1" ht="24" customHeight="1">
      <c r="B1" s="1" t="inlineStr">
        <is>
          <t>Corrugated Geometry</t>
        </is>
      </c>
      <c r="C1" s="2" t="n"/>
      <c r="D1" s="2" t="n"/>
      <c r="E1" s="2" t="n"/>
      <c r="F1" s="2" t="n"/>
      <c r="G1" s="2" t="n"/>
      <c r="H1" s="2" t="n"/>
    </row>
    <row r="3" ht="20" customHeight="1">
      <c r="B3" s="8" t="inlineStr">
        <is>
          <t>Layer</t>
        </is>
      </c>
      <c r="C3" s="8" t="inlineStr">
        <is>
          <t>SSA (m²/m³)</t>
        </is>
      </c>
      <c r="D3" s="8" t="inlineStr">
        <is>
          <t>Length (mm)</t>
        </is>
      </c>
      <c r="E3" s="8" t="inlineStr">
        <is>
          <t>Width (mm)</t>
        </is>
      </c>
      <c r="F3" s="8" t="inlineStr">
        <is>
          <t>Height (mm)</t>
        </is>
      </c>
      <c r="G3" s="8" t="inlineStr">
        <is>
          <t>Total Cells</t>
        </is>
      </c>
      <c r="H3" s="8" t="inlineStr">
        <is>
          <t>Plugged Cells</t>
        </is>
      </c>
    </row>
    <row r="4" ht="16" customHeight="1">
      <c r="B4" s="15" t="n">
        <v>1</v>
      </c>
      <c r="C4" s="6" t="n"/>
      <c r="D4" s="6" t="n"/>
      <c r="E4" s="6" t="n"/>
      <c r="F4" s="6" t="n"/>
      <c r="G4" s="6" t="n"/>
      <c r="H4" s="6" t="n"/>
    </row>
    <row r="5" ht="16" customHeight="1">
      <c r="B5" s="15" t="n">
        <v>2</v>
      </c>
      <c r="C5" s="6" t="n"/>
      <c r="D5" s="6" t="n"/>
      <c r="E5" s="6" t="n"/>
      <c r="F5" s="6" t="n"/>
      <c r="G5" s="6" t="n"/>
      <c r="H5" s="6" t="n"/>
    </row>
    <row r="6" ht="16" customHeight="1">
      <c r="B6" s="15" t="n">
        <v>3</v>
      </c>
      <c r="C6" s="6" t="n"/>
      <c r="D6" s="6" t="n"/>
      <c r="E6" s="6" t="n"/>
      <c r="F6" s="6" t="n"/>
      <c r="G6" s="6" t="n"/>
      <c r="H6" s="6" t="n"/>
    </row>
    <row r="7" ht="16" customHeight="1">
      <c r="B7" s="15" t="n">
        <v>4</v>
      </c>
      <c r="C7" s="6" t="n"/>
      <c r="D7" s="6" t="n"/>
      <c r="E7" s="6" t="n"/>
      <c r="F7" s="6" t="n"/>
      <c r="G7" s="6" t="n"/>
      <c r="H7" s="6" t="n"/>
    </row>
    <row r="8" ht="16" customHeight="1">
      <c r="B8" s="15" t="n">
        <v>5</v>
      </c>
      <c r="C8" s="6" t="n"/>
      <c r="D8" s="6" t="n"/>
      <c r="E8" s="6" t="n"/>
      <c r="F8" s="6" t="n"/>
      <c r="G8" s="6" t="n"/>
      <c r="H8" s="6" t="n"/>
    </row>
    <row r="9" ht="16" customHeight="1">
      <c r="B9" s="15" t="n">
        <v>6</v>
      </c>
      <c r="C9" s="6" t="n"/>
      <c r="D9" s="6" t="n"/>
      <c r="E9" s="6" t="n"/>
      <c r="F9" s="6" t="n"/>
      <c r="G9" s="6" t="n"/>
      <c r="H9" s="6" t="n"/>
    </row>
    <row r="11" ht="24" customHeight="1">
      <c r="B11" s="3" t="inlineStr">
        <is>
          <t>Resolved Outputs (read-only)</t>
        </is>
      </c>
      <c r="C11" s="4" t="n"/>
      <c r="D11" s="4" t="n"/>
      <c r="E11" s="4" t="n"/>
    </row>
    <row r="12" ht="16" customHeight="1">
      <c r="B12" s="5" t="inlineStr">
        <is>
          <t>Total Active Layers</t>
        </is>
      </c>
      <c r="C12" s="11" t="n"/>
      <c r="D12" s="9">
        <f>GC_ActiveLayers</f>
        <v/>
      </c>
    </row>
    <row r="13" ht="16" customHeight="1">
      <c r="B13" s="5" t="inlineStr">
        <is>
          <t>Avg Adjusted FFA (m²)</t>
        </is>
      </c>
      <c r="C13" s="11" t="n"/>
      <c r="D13" s="9">
        <f>GC_AvgAdjFFA</f>
        <v/>
      </c>
    </row>
    <row r="14" ht="16" customHeight="1">
      <c r="B14" s="5" t="inlineStr">
        <is>
          <t>Total Adjusted Area (m²)</t>
        </is>
      </c>
      <c r="C14" s="11" t="n"/>
      <c r="D14" s="9">
        <f>GC_TotalAdjArea</f>
        <v/>
      </c>
    </row>
    <row r="15" ht="16" customHeight="1">
      <c r="B15" s="5" t="inlineStr">
        <is>
          <t>Active Volume (m³)</t>
        </is>
      </c>
      <c r="C15" s="11" t="n"/>
      <c r="D15" s="9">
        <f>'Geometry Calc'!C74</f>
        <v/>
      </c>
    </row>
    <row r="17">
      <c r="B17" s="10" t="inlineStr">
        <is>
          <t>[ Back to Home ]</t>
        </is>
      </c>
      <c r="C17" s="11" t="n"/>
      <c r="D17" s="11" t="n"/>
    </row>
  </sheetData>
  <mergeCells count="7">
    <mergeCell ref="B13:C13"/>
    <mergeCell ref="B15:C15"/>
    <mergeCell ref="B1:H1"/>
    <mergeCell ref="B17:D17"/>
    <mergeCell ref="B14:C14"/>
    <mergeCell ref="B11:E11"/>
    <mergeCell ref="B12:C12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B1:E44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28" customWidth="1" min="2" max="2"/>
    <col width="20" customWidth="1" min="3" max="3"/>
    <col width="20" customWidth="1" min="4" max="4"/>
    <col width="20" customWidth="1" min="5" max="5"/>
  </cols>
  <sheetData>
    <row r="1" ht="24" customHeight="1">
      <c r="B1" s="1" t="inlineStr">
        <is>
          <t>Setup Summary</t>
        </is>
      </c>
      <c r="C1" s="2" t="n"/>
      <c r="D1" s="2" t="n"/>
      <c r="E1" s="2" t="n"/>
    </row>
    <row r="3" ht="24" customHeight="1">
      <c r="B3" s="3" t="inlineStr">
        <is>
          <t>Geometry &amp; Flow Results</t>
        </is>
      </c>
      <c r="C3" s="4" t="n"/>
      <c r="D3" s="4" t="n"/>
      <c r="E3" s="4" t="n"/>
    </row>
    <row r="4" ht="20" customHeight="1">
      <c r="B4" s="8" t="inlineStr">
        <is>
          <t>Parameter</t>
        </is>
      </c>
      <c r="C4" s="8" t="inlineStr">
        <is>
          <t>Activity</t>
        </is>
      </c>
      <c r="D4" s="8" t="inlineStr">
        <is>
          <t>Conversion</t>
        </is>
      </c>
    </row>
    <row r="5" ht="16" customHeight="1">
      <c r="B5" s="5" t="inlineStr">
        <is>
          <t>Avg Adjusted FFA (m²)</t>
        </is>
      </c>
      <c r="C5" s="9">
        <f>GC_AvgAdjFFA</f>
        <v/>
      </c>
      <c r="D5" s="9" t="n"/>
    </row>
    <row r="6" ht="16" customHeight="1">
      <c r="B6" s="5" t="inlineStr">
        <is>
          <t>Total Adjusted Area (m²)</t>
        </is>
      </c>
      <c r="C6" s="9">
        <f>GC_TotalAdjArea</f>
        <v/>
      </c>
      <c r="D6" s="9" t="n"/>
    </row>
    <row r="7" ht="16" customHeight="1">
      <c r="B7" s="5" t="inlineStr">
        <is>
          <t>Active Layers</t>
        </is>
      </c>
      <c r="C7" s="9">
        <f>GC_ActiveLayers</f>
        <v/>
      </c>
      <c r="D7" s="9" t="n"/>
    </row>
    <row r="8" ht="16" customHeight="1">
      <c r="B8" s="5" t="inlineStr">
        <is>
          <t>Flow (Nm³/h)</t>
        </is>
      </c>
      <c r="C8" s="9">
        <f>GC_Flow_Act_Nm3h</f>
        <v/>
      </c>
      <c r="D8" s="9">
        <f>GC_Flow_Conv_Nm3h</f>
        <v/>
      </c>
    </row>
    <row r="9" ht="16" customHeight="1">
      <c r="B9" s="5" t="inlineStr">
        <is>
          <t>Flow (scfm)</t>
        </is>
      </c>
      <c r="C9" s="9">
        <f>GC_Flow_Act_scfm</f>
        <v/>
      </c>
      <c r="D9" s="9">
        <f>GC_Flow_Conv_scfm</f>
        <v/>
      </c>
    </row>
    <row r="10" ht="16" customHeight="1">
      <c r="B10" s="5" t="inlineStr">
        <is>
          <t>AV Used</t>
        </is>
      </c>
      <c r="C10" s="9">
        <f>GC_AV_Act</f>
        <v/>
      </c>
      <c r="D10" s="9">
        <f>GC_AV_Conv</f>
        <v/>
      </c>
    </row>
    <row r="11" ht="16" customHeight="1">
      <c r="B11" s="5" t="inlineStr">
        <is>
          <t>Flow Source / Status</t>
        </is>
      </c>
      <c r="C11" s="9">
        <f>GC_Flow_Act_Status</f>
        <v/>
      </c>
      <c r="D11" s="9">
        <f>GC_Flow_Conv_Status</f>
        <v/>
      </c>
    </row>
    <row r="16" ht="24" customHeight="1">
      <c r="B16" s="3" t="inlineStr">
        <is>
          <t>Injection Rates</t>
        </is>
      </c>
      <c r="C16" s="4" t="n"/>
      <c r="D16" s="4" t="n"/>
    </row>
    <row r="17" ht="20" customHeight="1">
      <c r="B17" s="8" t="inlineStr">
        <is>
          <t>Parameter</t>
        </is>
      </c>
      <c r="C17" s="8" t="inlineStr">
        <is>
          <t>Activity</t>
        </is>
      </c>
      <c r="D17" s="8" t="inlineStr">
        <is>
          <t>Conversion</t>
        </is>
      </c>
    </row>
    <row r="18" ht="16" customHeight="1">
      <c r="B18" s="5" t="inlineStr">
        <is>
          <t>SO₃ Injection (mL/min)</t>
        </is>
      </c>
      <c r="C18" s="9">
        <f>GC_SO3_Inj_Act</f>
        <v/>
      </c>
      <c r="D18" s="9">
        <f>GC_SO3_Inj_Conv</f>
        <v/>
      </c>
    </row>
    <row r="19" ht="16" customHeight="1">
      <c r="B19" s="5" t="inlineStr">
        <is>
          <t>NH₃ Injection (mL/min)</t>
        </is>
      </c>
      <c r="C19" s="9">
        <f>GC_NH3_Inj_Act</f>
        <v/>
      </c>
      <c r="D19" s="9">
        <f>GC_NH3_Inj_Conv</f>
        <v/>
      </c>
    </row>
    <row r="20" ht="16" customHeight="1">
      <c r="B20" s="5" t="inlineStr">
        <is>
          <t>SO₂ Injection (mL/min)</t>
        </is>
      </c>
      <c r="C20" s="9">
        <f>GC_SO2_Inj_Act</f>
        <v/>
      </c>
      <c r="D20" s="9">
        <f>GC_SO2_Inj_Conv</f>
        <v/>
      </c>
    </row>
    <row r="21" ht="16" customHeight="1">
      <c r="B21" s="5" t="inlineStr">
        <is>
          <t>Combustion NH₃ Est.</t>
        </is>
      </c>
      <c r="C21" s="9" t="n"/>
      <c r="D21" s="9" t="n"/>
    </row>
    <row r="25" ht="24" customHeight="1">
      <c r="B25" s="3" t="inlineStr">
        <is>
          <t>Slip Prediction</t>
        </is>
      </c>
      <c r="C25" s="4" t="n"/>
      <c r="D25" s="4" t="n"/>
    </row>
    <row r="26" ht="16" customHeight="1">
      <c r="B26" s="5" t="inlineStr">
        <is>
          <t>Expected K</t>
        </is>
      </c>
      <c r="C26" s="6" t="n"/>
    </row>
    <row r="27" ht="16" customHeight="1">
      <c r="B27" s="5" t="inlineStr">
        <is>
          <t>Predicted Slip (ppmvd)</t>
        </is>
      </c>
      <c r="C27" s="9" t="n"/>
    </row>
    <row r="28" ht="16" customHeight="1">
      <c r="B28" s="5" t="inlineStr">
        <is>
          <t>Predicted Outlet NOx</t>
        </is>
      </c>
      <c r="C28" s="9" t="n"/>
    </row>
    <row r="29" ht="16" customHeight="1">
      <c r="B29" s="5" t="inlineStr">
        <is>
          <t>Predicted DeNOx (%)</t>
        </is>
      </c>
      <c r="C29" s="9" t="n"/>
    </row>
    <row r="33" ht="24" customHeight="1">
      <c r="B33" s="3" t="inlineStr">
        <is>
          <t>Setup Verification</t>
        </is>
      </c>
      <c r="C33" s="4" t="n"/>
      <c r="D33" s="4" t="n"/>
    </row>
    <row r="34" ht="16" customHeight="1">
      <c r="B34" s="5" t="inlineStr">
        <is>
          <t>Setup Entered By</t>
        </is>
      </c>
      <c r="C34" s="9">
        <f>Ctrl_SetupEnteredBy</f>
        <v/>
      </c>
    </row>
    <row r="35" ht="16" customHeight="1">
      <c r="B35" s="5" t="inlineStr">
        <is>
          <t>Setup Entered At</t>
        </is>
      </c>
      <c r="C35" s="9">
        <f>Ctrl_SetupEnteredAt</f>
        <v/>
      </c>
    </row>
    <row r="36" ht="16" customHeight="1">
      <c r="B36" s="5" t="inlineStr">
        <is>
          <t>Verification 1 By</t>
        </is>
      </c>
      <c r="C36" s="9">
        <f>Ctrl_Verified1By</f>
        <v/>
      </c>
    </row>
    <row r="37" ht="16" customHeight="1">
      <c r="B37" s="5" t="inlineStr">
        <is>
          <t>Verification 1 At</t>
        </is>
      </c>
      <c r="C37" s="9">
        <f>Ctrl_Verified1At</f>
        <v/>
      </c>
    </row>
    <row r="38" ht="16" customHeight="1">
      <c r="B38" s="5" t="inlineStr">
        <is>
          <t>Verification 2 By</t>
        </is>
      </c>
      <c r="C38" s="9">
        <f>Ctrl_Verified2By</f>
        <v/>
      </c>
    </row>
    <row r="39" ht="16" customHeight="1">
      <c r="B39" s="5" t="inlineStr">
        <is>
          <t>Verification 2 At</t>
        </is>
      </c>
      <c r="C39" s="9">
        <f>Ctrl_Verified2At</f>
        <v/>
      </c>
    </row>
    <row r="40" ht="16" customHeight="1">
      <c r="B40" s="5" t="inlineStr">
        <is>
          <t>Signoff Status</t>
        </is>
      </c>
      <c r="C40" s="9">
        <f>Ctrl_SetupSignoffComplete</f>
        <v/>
      </c>
    </row>
    <row r="43">
      <c r="B43" s="10" t="inlineStr">
        <is>
          <t>[ Verify Setup ]</t>
        </is>
      </c>
      <c r="C43" s="11" t="n"/>
      <c r="D43" s="11" t="n"/>
    </row>
    <row r="44">
      <c r="B44" s="10" t="inlineStr">
        <is>
          <t>[ Back to Home ]</t>
        </is>
      </c>
      <c r="C44" s="11" t="n"/>
      <c r="D44" s="11" t="n"/>
    </row>
  </sheetData>
  <mergeCells count="7">
    <mergeCell ref="B33:D33"/>
    <mergeCell ref="B1:E1"/>
    <mergeCell ref="B3:E3"/>
    <mergeCell ref="B44:D44"/>
    <mergeCell ref="B43:D43"/>
    <mergeCell ref="B25:D25"/>
    <mergeCell ref="B16:D16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P73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14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0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14" customWidth="1" min="16" max="16"/>
  </cols>
  <sheetData>
    <row r="1" ht="24" customHeight="1">
      <c r="B1" s="1" t="inlineStr">
        <is>
          <t>Activity Dashboard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</row>
    <row r="3" ht="16" customHeight="1">
      <c r="B3" s="15" t="inlineStr">
        <is>
          <t>Test ID:</t>
        </is>
      </c>
      <c r="C3" s="9">
        <f>Ctrl_TestID</f>
        <v/>
      </c>
      <c r="D3" s="15" t="inlineStr">
        <is>
          <t>Sample:</t>
        </is>
      </c>
      <c r="E3" s="9" t="n"/>
      <c r="F3" s="15" t="inlineStr">
        <is>
          <t>Flow:</t>
        </is>
      </c>
      <c r="G3" s="9">
        <f>GC_Flow_Act_Nm3h</f>
        <v/>
      </c>
      <c r="H3" s="15" t="inlineStr">
        <is>
          <t>Check 1:</t>
        </is>
      </c>
      <c r="I3" s="9">
        <f>Ctrl_Verified1By</f>
        <v/>
      </c>
      <c r="J3" s="15" t="inlineStr">
        <is>
          <t>Check 2:</t>
        </is>
      </c>
      <c r="K3" s="9">
        <f>Ctrl_Verified2By</f>
        <v/>
      </c>
    </row>
    <row r="6" ht="24" customHeight="1">
      <c r="B6" s="3" t="inlineStr">
        <is>
          <t>Pre-Test Validation</t>
        </is>
      </c>
      <c r="C6" s="4" t="n"/>
      <c r="D6" s="4" t="n"/>
      <c r="E6" s="4" t="n"/>
      <c r="F6" s="4" t="n"/>
      <c r="G6" s="4" t="n"/>
      <c r="H6" s="4" t="n"/>
    </row>
    <row r="7" ht="20" customHeight="1">
      <c r="B7" s="8" t="inlineStr">
        <is>
          <t>Parameter</t>
        </is>
      </c>
      <c r="C7" s="8" t="inlineStr">
        <is>
          <t>Actual</t>
        </is>
      </c>
      <c r="D7" s="8" t="inlineStr">
        <is>
          <t>Target</t>
        </is>
      </c>
      <c r="E7" s="8" t="inlineStr">
        <is>
          <t>LSL</t>
        </is>
      </c>
      <c r="F7" s="8" t="inlineStr">
        <is>
          <t>USL</t>
        </is>
      </c>
      <c r="G7" s="8" t="inlineStr">
        <is>
          <t>Status</t>
        </is>
      </c>
    </row>
    <row r="8" ht="16" customHeight="1">
      <c r="B8" s="5" t="inlineStr">
        <is>
          <t>Temperature</t>
        </is>
      </c>
      <c r="C8" s="9" t="n"/>
      <c r="D8" s="9" t="n"/>
      <c r="E8" s="9" t="n"/>
      <c r="F8" s="9" t="n"/>
      <c r="G8" s="9" t="n"/>
    </row>
    <row r="9" ht="16" customHeight="1">
      <c r="B9" s="5" t="inlineStr">
        <is>
          <t>Flow</t>
        </is>
      </c>
      <c r="C9" s="9" t="n"/>
      <c r="D9" s="9" t="n"/>
      <c r="E9" s="9" t="n"/>
      <c r="F9" s="9" t="n"/>
      <c r="G9" s="9" t="n"/>
    </row>
    <row r="10" ht="16" customHeight="1">
      <c r="B10" s="5" t="inlineStr">
        <is>
          <t>O₂</t>
        </is>
      </c>
      <c r="C10" s="9" t="n"/>
      <c r="D10" s="9" t="n"/>
      <c r="E10" s="9" t="n"/>
      <c r="F10" s="9" t="n"/>
      <c r="G10" s="9" t="n"/>
    </row>
    <row r="11" ht="16" customHeight="1">
      <c r="B11" s="5" t="inlineStr">
        <is>
          <t>NOx</t>
        </is>
      </c>
      <c r="C11" s="9" t="n"/>
      <c r="D11" s="9" t="n"/>
      <c r="E11" s="9" t="n"/>
      <c r="F11" s="9" t="n"/>
      <c r="G11" s="9" t="n"/>
    </row>
    <row r="12" ht="16" customHeight="1">
      <c r="B12" s="5" t="inlineStr">
        <is>
          <t>SO₂</t>
        </is>
      </c>
      <c r="C12" s="9" t="n"/>
      <c r="D12" s="9" t="n"/>
      <c r="E12" s="9" t="n"/>
      <c r="F12" s="9" t="n"/>
      <c r="G12" s="9" t="n"/>
    </row>
    <row r="13" ht="16" customHeight="1">
      <c r="B13" s="5" t="inlineStr">
        <is>
          <t>NH₃ (MR&gt;0)</t>
        </is>
      </c>
      <c r="C13" s="9" t="n"/>
      <c r="D13" s="9" t="n"/>
      <c r="E13" s="9" t="n"/>
      <c r="F13" s="9" t="n"/>
      <c r="G13" s="9" t="n"/>
    </row>
    <row r="14" ht="16" customHeight="1">
      <c r="B14" s="5" t="inlineStr">
        <is>
          <t>MR (MR&gt;0)</t>
        </is>
      </c>
      <c r="C14" s="9" t="n"/>
      <c r="D14" s="9" t="n"/>
      <c r="E14" s="9" t="n"/>
      <c r="F14" s="9" t="n"/>
      <c r="G14" s="9" t="n"/>
    </row>
    <row r="16">
      <c r="B16" s="10" t="inlineStr">
        <is>
          <t>[ Log Physical ]</t>
        </is>
      </c>
      <c r="C16" s="11" t="n"/>
      <c r="D16" s="10" t="inlineStr">
        <is>
          <t>[ Log NOx ]</t>
        </is>
      </c>
      <c r="E16" s="11" t="n"/>
      <c r="F16" s="10" t="inlineStr">
        <is>
          <t>[ Log SO2 ]</t>
        </is>
      </c>
      <c r="G16" s="11" t="n"/>
      <c r="H16" s="10" t="inlineStr">
        <is>
          <t>[ Log NH3 ]</t>
        </is>
      </c>
      <c r="I16" s="11" t="n"/>
    </row>
    <row r="18" ht="24" customHeight="1">
      <c r="B18" s="3" t="inlineStr">
        <is>
          <t>Activity Results</t>
        </is>
      </c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  <c r="P18" s="4" t="n"/>
    </row>
    <row r="19" ht="30" customHeight="1">
      <c r="B19" s="8" t="inlineStr">
        <is>
          <t>Use</t>
        </is>
      </c>
      <c r="C19" s="8" t="inlineStr">
        <is>
          <t>Inlet NOx ID</t>
        </is>
      </c>
      <c r="D19" s="8" t="inlineStr">
        <is>
          <t>Inlet NOx</t>
        </is>
      </c>
      <c r="E19" s="8" t="inlineStr">
        <is>
          <t>Outlet NOx ID</t>
        </is>
      </c>
      <c r="F19" s="8" t="inlineStr">
        <is>
          <t>Outlet NOx</t>
        </is>
      </c>
      <c r="G19" s="8" t="inlineStr">
        <is>
          <t>DeNOx %</t>
        </is>
      </c>
      <c r="H19" s="8" t="inlineStr">
        <is>
          <t>K</t>
        </is>
      </c>
      <c r="I19" s="8" t="inlineStr">
        <is>
          <t>NH3 ID</t>
        </is>
      </c>
      <c r="J19" s="8" t="inlineStr">
        <is>
          <t>NH3 Used</t>
        </is>
      </c>
      <c r="K19" s="8" t="inlineStr">
        <is>
          <t>NH3 Pt</t>
        </is>
      </c>
      <c r="L19" s="8" t="inlineStr">
        <is>
          <t>MR Actual</t>
        </is>
      </c>
      <c r="M19" s="8" t="inlineStr">
        <is>
          <t>Corm-K</t>
        </is>
      </c>
      <c r="N19" s="8" t="inlineStr">
        <is>
          <t>H2O Used</t>
        </is>
      </c>
      <c r="O19" s="8" t="inlineStr">
        <is>
          <t>H2O K</t>
        </is>
      </c>
      <c r="P19" s="8" t="inlineStr">
        <is>
          <t>Browse</t>
        </is>
      </c>
    </row>
    <row r="20" ht="16" customHeight="1">
      <c r="B20" s="6" t="n"/>
      <c r="C20" s="6" t="n"/>
      <c r="D20" s="9" t="n"/>
      <c r="E20" s="6" t="n"/>
      <c r="F20" s="9" t="n"/>
      <c r="G20" s="9" t="n"/>
      <c r="H20" s="9" t="n"/>
      <c r="I20" s="6" t="n"/>
      <c r="J20" s="9" t="n"/>
      <c r="K20" s="9" t="n"/>
      <c r="L20" s="9" t="n"/>
      <c r="M20" s="9" t="n"/>
      <c r="N20" s="9" t="n"/>
      <c r="O20" s="9" t="n"/>
      <c r="P20" s="10" t="inlineStr">
        <is>
          <t>Browse</t>
        </is>
      </c>
    </row>
    <row r="21" ht="16" customHeight="1">
      <c r="B21" s="6" t="n"/>
      <c r="C21" s="6" t="n"/>
      <c r="D21" s="9" t="n"/>
      <c r="E21" s="6" t="n"/>
      <c r="F21" s="9" t="n"/>
      <c r="G21" s="9" t="n"/>
      <c r="H21" s="9" t="n"/>
      <c r="I21" s="6" t="n"/>
      <c r="J21" s="9" t="n"/>
      <c r="K21" s="9" t="n"/>
      <c r="L21" s="9" t="n"/>
      <c r="M21" s="9" t="n"/>
      <c r="N21" s="9" t="n"/>
      <c r="O21" s="9" t="n"/>
      <c r="P21" s="10" t="inlineStr">
        <is>
          <t>Browse</t>
        </is>
      </c>
    </row>
    <row r="22" ht="16" customHeight="1">
      <c r="B22" s="6" t="n"/>
      <c r="C22" s="6" t="n"/>
      <c r="D22" s="9" t="n"/>
      <c r="E22" s="6" t="n"/>
      <c r="F22" s="9" t="n"/>
      <c r="G22" s="9" t="n"/>
      <c r="H22" s="9" t="n"/>
      <c r="I22" s="6" t="n"/>
      <c r="J22" s="9" t="n"/>
      <c r="K22" s="9" t="n"/>
      <c r="L22" s="9" t="n"/>
      <c r="M22" s="9" t="n"/>
      <c r="N22" s="9" t="n"/>
      <c r="O22" s="9" t="n"/>
      <c r="P22" s="10" t="inlineStr">
        <is>
          <t>Browse</t>
        </is>
      </c>
    </row>
    <row r="23" ht="16" customHeight="1">
      <c r="B23" s="6" t="n"/>
      <c r="C23" s="6" t="n"/>
      <c r="D23" s="9" t="n"/>
      <c r="E23" s="6" t="n"/>
      <c r="F23" s="9" t="n"/>
      <c r="G23" s="9" t="n"/>
      <c r="H23" s="9" t="n"/>
      <c r="I23" s="6" t="n"/>
      <c r="J23" s="9" t="n"/>
      <c r="K23" s="9" t="n"/>
      <c r="L23" s="9" t="n"/>
      <c r="M23" s="9" t="n"/>
      <c r="N23" s="9" t="n"/>
      <c r="O23" s="9" t="n"/>
      <c r="P23" s="10" t="inlineStr">
        <is>
          <t>Browse</t>
        </is>
      </c>
    </row>
    <row r="24" ht="16" customHeight="1">
      <c r="B24" s="6" t="n"/>
      <c r="C24" s="6" t="n"/>
      <c r="D24" s="9" t="n"/>
      <c r="E24" s="6" t="n"/>
      <c r="F24" s="9" t="n"/>
      <c r="G24" s="9" t="n"/>
      <c r="H24" s="9" t="n"/>
      <c r="I24" s="6" t="n"/>
      <c r="J24" s="9" t="n"/>
      <c r="K24" s="9" t="n"/>
      <c r="L24" s="9" t="n"/>
      <c r="M24" s="9" t="n"/>
      <c r="N24" s="9" t="n"/>
      <c r="O24" s="9" t="n"/>
      <c r="P24" s="10" t="inlineStr">
        <is>
          <t>Browse</t>
        </is>
      </c>
    </row>
    <row r="25" ht="16" customHeight="1">
      <c r="B25" s="6" t="n"/>
      <c r="C25" s="6" t="n"/>
      <c r="D25" s="9" t="n"/>
      <c r="E25" s="6" t="n"/>
      <c r="F25" s="9" t="n"/>
      <c r="G25" s="9" t="n"/>
      <c r="H25" s="9" t="n"/>
      <c r="I25" s="6" t="n"/>
      <c r="J25" s="9" t="n"/>
      <c r="K25" s="9" t="n"/>
      <c r="L25" s="9" t="n"/>
      <c r="M25" s="9" t="n"/>
      <c r="N25" s="9" t="n"/>
      <c r="O25" s="9" t="n"/>
      <c r="P25" s="10" t="inlineStr">
        <is>
          <t>Browse</t>
        </is>
      </c>
    </row>
    <row r="28" ht="24" customHeight="1">
      <c r="B28" s="3" t="inlineStr">
        <is>
          <t>Steady-State Check</t>
        </is>
      </c>
      <c r="C28" s="4" t="n"/>
      <c r="D28" s="4" t="n"/>
      <c r="E28" s="4" t="n"/>
      <c r="F28" s="4" t="n"/>
      <c r="G28" s="4" t="n"/>
      <c r="H28" s="4" t="n"/>
    </row>
    <row r="29" ht="16" customHeight="1">
      <c r="B29" s="5" t="inlineStr">
        <is>
          <t>K Mean</t>
        </is>
      </c>
      <c r="C29" s="11" t="n"/>
      <c r="D29" s="9" t="n"/>
    </row>
    <row r="30" ht="16" customHeight="1">
      <c r="B30" s="5" t="inlineStr">
        <is>
          <t>K StdDev</t>
        </is>
      </c>
      <c r="C30" s="11" t="n"/>
      <c r="D30" s="9" t="n"/>
    </row>
    <row r="31" ht="16" customHeight="1">
      <c r="B31" s="5" t="inlineStr">
        <is>
          <t>Normalized Slope</t>
        </is>
      </c>
      <c r="C31" s="11" t="n"/>
      <c r="D31" s="9" t="n"/>
    </row>
    <row r="32" ht="16" customHeight="1">
      <c r="B32" s="5" t="inlineStr">
        <is>
          <t>Steady-State Result</t>
        </is>
      </c>
      <c r="C32" s="11" t="n"/>
      <c r="D32" s="9" t="n"/>
    </row>
    <row r="33" ht="16" customHeight="1">
      <c r="B33" s="5" t="inlineStr">
        <is>
          <t>Points Used</t>
        </is>
      </c>
      <c r="C33" s="11" t="n"/>
      <c r="D33" s="9" t="n"/>
    </row>
    <row r="35" ht="24" customHeight="1">
      <c r="B35" s="18" t="inlineStr">
        <is>
          <t>Inlet NOx Readings</t>
        </is>
      </c>
      <c r="C35" s="2" t="n"/>
      <c r="D35" s="2" t="n"/>
      <c r="E35" s="2" t="n"/>
      <c r="F35" s="2" t="n"/>
      <c r="G35" s="2" t="n"/>
      <c r="H35" s="2" t="n"/>
    </row>
    <row r="36" ht="20" customHeight="1">
      <c r="B36" s="8" t="inlineStr">
        <is>
          <t>RecordID</t>
        </is>
      </c>
      <c r="C36" s="8" t="inlineStr">
        <is>
          <t>NOx (ppmvd)</t>
        </is>
      </c>
      <c r="D36" s="8" t="inlineStr">
        <is>
          <t>Analyzer</t>
        </is>
      </c>
      <c r="E36" s="8" t="inlineStr">
        <is>
          <t>H2O (%)</t>
        </is>
      </c>
      <c r="F36" s="8" t="inlineStr">
        <is>
          <t>Time</t>
        </is>
      </c>
      <c r="G36" s="8" t="inlineStr">
        <is>
          <t>Technician</t>
        </is>
      </c>
      <c r="H36" s="8" t="inlineStr">
        <is>
          <t>Excluded</t>
        </is>
      </c>
    </row>
    <row r="37" ht="16" customHeight="1">
      <c r="B37" s="9" t="n"/>
      <c r="C37" s="9" t="n"/>
      <c r="D37" s="9" t="n"/>
      <c r="E37" s="9" t="n"/>
      <c r="F37" s="9" t="n"/>
      <c r="G37" s="9" t="n"/>
      <c r="H37" s="9" t="n"/>
    </row>
    <row r="38" ht="16" customHeight="1">
      <c r="B38" s="9" t="n"/>
      <c r="C38" s="9" t="n"/>
      <c r="D38" s="9" t="n"/>
      <c r="E38" s="9" t="n"/>
      <c r="F38" s="9" t="n"/>
      <c r="G38" s="9" t="n"/>
      <c r="H38" s="9" t="n"/>
    </row>
    <row r="39" ht="16" customHeight="1">
      <c r="B39" s="9" t="n"/>
      <c r="C39" s="9" t="n"/>
      <c r="D39" s="9" t="n"/>
      <c r="E39" s="9" t="n"/>
      <c r="F39" s="9" t="n"/>
      <c r="G39" s="9" t="n"/>
      <c r="H39" s="9" t="n"/>
    </row>
    <row r="40" ht="16" customHeight="1">
      <c r="B40" s="9" t="n"/>
      <c r="C40" s="9" t="n"/>
      <c r="D40" s="9" t="n"/>
      <c r="E40" s="9" t="n"/>
      <c r="F40" s="9" t="n"/>
      <c r="G40" s="9" t="n"/>
      <c r="H40" s="9" t="n"/>
    </row>
    <row r="41" ht="16" customHeight="1">
      <c r="B41" s="9" t="n"/>
      <c r="C41" s="9" t="n"/>
      <c r="D41" s="9" t="n"/>
      <c r="E41" s="9" t="n"/>
      <c r="F41" s="9" t="n"/>
      <c r="G41" s="9" t="n"/>
      <c r="H41" s="9" t="n"/>
    </row>
    <row r="42" ht="16" customHeight="1">
      <c r="B42" s="9" t="n"/>
      <c r="C42" s="9" t="n"/>
      <c r="D42" s="9" t="n"/>
      <c r="E42" s="9" t="n"/>
      <c r="F42" s="9" t="n"/>
      <c r="G42" s="9" t="n"/>
      <c r="H42" s="9" t="n"/>
    </row>
    <row r="43">
      <c r="B43" s="10" t="inlineStr">
        <is>
          <t>[ + Add ]</t>
        </is>
      </c>
      <c r="C43" s="11" t="n"/>
      <c r="D43" s="10" t="inlineStr">
        <is>
          <t>[ Browse ]</t>
        </is>
      </c>
      <c r="E43" s="11" t="n"/>
    </row>
    <row r="45" ht="24" customHeight="1">
      <c r="B45" s="18" t="inlineStr">
        <is>
          <t>Outlet NOx Readings</t>
        </is>
      </c>
      <c r="C45" s="2" t="n"/>
      <c r="D45" s="2" t="n"/>
      <c r="E45" s="2" t="n"/>
      <c r="F45" s="2" t="n"/>
      <c r="G45" s="2" t="n"/>
      <c r="H45" s="2" t="n"/>
    </row>
    <row r="46" ht="20" customHeight="1">
      <c r="B46" s="8" t="inlineStr">
        <is>
          <t>RecordID</t>
        </is>
      </c>
      <c r="C46" s="8" t="inlineStr">
        <is>
          <t>NOx (ppmvd)</t>
        </is>
      </c>
      <c r="D46" s="8" t="inlineStr">
        <is>
          <t>Analyzer</t>
        </is>
      </c>
      <c r="E46" s="8" t="inlineStr">
        <is>
          <t>H2O (%)</t>
        </is>
      </c>
      <c r="F46" s="8" t="inlineStr">
        <is>
          <t>Time</t>
        </is>
      </c>
      <c r="G46" s="8" t="inlineStr">
        <is>
          <t>Technician</t>
        </is>
      </c>
      <c r="H46" s="8" t="inlineStr">
        <is>
          <t>Excluded</t>
        </is>
      </c>
    </row>
    <row r="47" ht="16" customHeight="1">
      <c r="B47" s="9" t="n"/>
      <c r="C47" s="9" t="n"/>
      <c r="D47" s="9" t="n"/>
      <c r="E47" s="9" t="n"/>
      <c r="F47" s="9" t="n"/>
      <c r="G47" s="9" t="n"/>
      <c r="H47" s="9" t="n"/>
    </row>
    <row r="48" ht="16" customHeight="1">
      <c r="B48" s="9" t="n"/>
      <c r="C48" s="9" t="n"/>
      <c r="D48" s="9" t="n"/>
      <c r="E48" s="9" t="n"/>
      <c r="F48" s="9" t="n"/>
      <c r="G48" s="9" t="n"/>
      <c r="H48" s="9" t="n"/>
    </row>
    <row r="49" ht="16" customHeight="1">
      <c r="B49" s="9" t="n"/>
      <c r="C49" s="9" t="n"/>
      <c r="D49" s="9" t="n"/>
      <c r="E49" s="9" t="n"/>
      <c r="F49" s="9" t="n"/>
      <c r="G49" s="9" t="n"/>
      <c r="H49" s="9" t="n"/>
    </row>
    <row r="50" ht="16" customHeight="1">
      <c r="B50" s="9" t="n"/>
      <c r="C50" s="9" t="n"/>
      <c r="D50" s="9" t="n"/>
      <c r="E50" s="9" t="n"/>
      <c r="F50" s="9" t="n"/>
      <c r="G50" s="9" t="n"/>
      <c r="H50" s="9" t="n"/>
    </row>
    <row r="51" ht="16" customHeight="1">
      <c r="B51" s="9" t="n"/>
      <c r="C51" s="9" t="n"/>
      <c r="D51" s="9" t="n"/>
      <c r="E51" s="9" t="n"/>
      <c r="F51" s="9" t="n"/>
      <c r="G51" s="9" t="n"/>
      <c r="H51" s="9" t="n"/>
    </row>
    <row r="52" ht="16" customHeight="1">
      <c r="B52" s="9" t="n"/>
      <c r="C52" s="9" t="n"/>
      <c r="D52" s="9" t="n"/>
      <c r="E52" s="9" t="n"/>
      <c r="F52" s="9" t="n"/>
      <c r="G52" s="9" t="n"/>
      <c r="H52" s="9" t="n"/>
    </row>
    <row r="53">
      <c r="B53" s="10" t="inlineStr">
        <is>
          <t>[ + Add ]</t>
        </is>
      </c>
      <c r="C53" s="11" t="n"/>
      <c r="D53" s="10" t="inlineStr">
        <is>
          <t>[ Browse ]</t>
        </is>
      </c>
      <c r="E53" s="11" t="n"/>
    </row>
    <row r="55" ht="24" customHeight="1">
      <c r="B55" s="18" t="inlineStr">
        <is>
          <t>SO₂ Readings</t>
        </is>
      </c>
      <c r="C55" s="2" t="n"/>
      <c r="D55" s="2" t="n"/>
      <c r="E55" s="2" t="n"/>
      <c r="F55" s="2" t="n"/>
      <c r="G55" s="2" t="n"/>
      <c r="H55" s="2" t="n"/>
    </row>
    <row r="56" ht="20" customHeight="1">
      <c r="B56" s="8" t="inlineStr">
        <is>
          <t>RecordID</t>
        </is>
      </c>
      <c r="C56" s="8" t="inlineStr">
        <is>
          <t>SO2 (ppmvd)</t>
        </is>
      </c>
      <c r="D56" s="8" t="inlineStr">
        <is>
          <t>Stage</t>
        </is>
      </c>
      <c r="E56" s="8" t="inlineStr">
        <is>
          <t>Method</t>
        </is>
      </c>
      <c r="F56" s="8" t="inlineStr">
        <is>
          <t>H2O (%)</t>
        </is>
      </c>
      <c r="G56" s="8" t="inlineStr">
        <is>
          <t>Time</t>
        </is>
      </c>
      <c r="H56" s="8" t="inlineStr">
        <is>
          <t>Technician</t>
        </is>
      </c>
    </row>
    <row r="57" ht="16" customHeight="1">
      <c r="B57" s="9" t="n"/>
      <c r="C57" s="9" t="n"/>
      <c r="D57" s="9" t="n"/>
      <c r="E57" s="9" t="n"/>
      <c r="F57" s="9" t="n"/>
      <c r="G57" s="9" t="n"/>
      <c r="H57" s="9" t="n"/>
    </row>
    <row r="58" ht="16" customHeight="1">
      <c r="B58" s="9" t="n"/>
      <c r="C58" s="9" t="n"/>
      <c r="D58" s="9" t="n"/>
      <c r="E58" s="9" t="n"/>
      <c r="F58" s="9" t="n"/>
      <c r="G58" s="9" t="n"/>
      <c r="H58" s="9" t="n"/>
    </row>
    <row r="59" ht="16" customHeight="1">
      <c r="B59" s="9" t="n"/>
      <c r="C59" s="9" t="n"/>
      <c r="D59" s="9" t="n"/>
      <c r="E59" s="9" t="n"/>
      <c r="F59" s="9" t="n"/>
      <c r="G59" s="9" t="n"/>
      <c r="H59" s="9" t="n"/>
    </row>
    <row r="60" ht="16" customHeight="1">
      <c r="B60" s="9" t="n"/>
      <c r="C60" s="9" t="n"/>
      <c r="D60" s="9" t="n"/>
      <c r="E60" s="9" t="n"/>
      <c r="F60" s="9" t="n"/>
      <c r="G60" s="9" t="n"/>
      <c r="H60" s="9" t="n"/>
    </row>
    <row r="61" ht="16" customHeight="1">
      <c r="B61" s="9" t="n"/>
      <c r="C61" s="9" t="n"/>
      <c r="D61" s="9" t="n"/>
      <c r="E61" s="9" t="n"/>
      <c r="F61" s="9" t="n"/>
      <c r="G61" s="9" t="n"/>
      <c r="H61" s="9" t="n"/>
    </row>
    <row r="62" ht="16" customHeight="1">
      <c r="B62" s="9" t="n"/>
      <c r="C62" s="9" t="n"/>
      <c r="D62" s="9" t="n"/>
      <c r="E62" s="9" t="n"/>
      <c r="F62" s="9" t="n"/>
      <c r="G62" s="9" t="n"/>
      <c r="H62" s="9" t="n"/>
    </row>
    <row r="63">
      <c r="B63" s="10" t="inlineStr">
        <is>
          <t>[ + Add ]</t>
        </is>
      </c>
      <c r="C63" s="11" t="n"/>
      <c r="D63" s="10" t="inlineStr">
        <is>
          <t>[ Browse ]</t>
        </is>
      </c>
      <c r="E63" s="11" t="n"/>
    </row>
    <row r="65" ht="24" customHeight="1">
      <c r="B65" s="18" t="inlineStr">
        <is>
          <t>NH₃ Readings</t>
        </is>
      </c>
      <c r="C65" s="2" t="n"/>
      <c r="D65" s="2" t="n"/>
      <c r="E65" s="2" t="n"/>
      <c r="F65" s="2" t="n"/>
      <c r="G65" s="2" t="n"/>
      <c r="H65" s="2" t="n"/>
    </row>
    <row r="66" ht="20" customHeight="1">
      <c r="B66" s="8" t="inlineStr">
        <is>
          <t>RecordID</t>
        </is>
      </c>
      <c r="C66" s="8" t="inlineStr">
        <is>
          <t>NH3 (ppmvd)</t>
        </is>
      </c>
      <c r="D66" s="8" t="inlineStr">
        <is>
          <t>Point</t>
        </is>
      </c>
      <c r="E66" s="8" t="inlineStr">
        <is>
          <t>Method</t>
        </is>
      </c>
      <c r="F66" s="8" t="inlineStr">
        <is>
          <t>H2O (%)</t>
        </is>
      </c>
      <c r="G66" s="8" t="inlineStr">
        <is>
          <t>Time</t>
        </is>
      </c>
      <c r="H66" s="8" t="inlineStr">
        <is>
          <t>Technician</t>
        </is>
      </c>
    </row>
    <row r="67" ht="16" customHeight="1">
      <c r="B67" s="9" t="n"/>
      <c r="C67" s="9" t="n"/>
      <c r="D67" s="9" t="n"/>
      <c r="E67" s="9" t="n"/>
      <c r="F67" s="9" t="n"/>
      <c r="G67" s="9" t="n"/>
      <c r="H67" s="9" t="n"/>
    </row>
    <row r="68" ht="16" customHeight="1">
      <c r="B68" s="9" t="n"/>
      <c r="C68" s="9" t="n"/>
      <c r="D68" s="9" t="n"/>
      <c r="E68" s="9" t="n"/>
      <c r="F68" s="9" t="n"/>
      <c r="G68" s="9" t="n"/>
      <c r="H68" s="9" t="n"/>
    </row>
    <row r="69" ht="16" customHeight="1">
      <c r="B69" s="9" t="n"/>
      <c r="C69" s="9" t="n"/>
      <c r="D69" s="9" t="n"/>
      <c r="E69" s="9" t="n"/>
      <c r="F69" s="9" t="n"/>
      <c r="G69" s="9" t="n"/>
      <c r="H69" s="9" t="n"/>
    </row>
    <row r="70" ht="16" customHeight="1">
      <c r="B70" s="9" t="n"/>
      <c r="C70" s="9" t="n"/>
      <c r="D70" s="9" t="n"/>
      <c r="E70" s="9" t="n"/>
      <c r="F70" s="9" t="n"/>
      <c r="G70" s="9" t="n"/>
      <c r="H70" s="9" t="n"/>
    </row>
    <row r="71" ht="16" customHeight="1">
      <c r="B71" s="9" t="n"/>
      <c r="C71" s="9" t="n"/>
      <c r="D71" s="9" t="n"/>
      <c r="E71" s="9" t="n"/>
      <c r="F71" s="9" t="n"/>
      <c r="G71" s="9" t="n"/>
      <c r="H71" s="9" t="n"/>
    </row>
    <row r="72" ht="16" customHeight="1">
      <c r="B72" s="9" t="n"/>
      <c r="C72" s="9" t="n"/>
      <c r="D72" s="9" t="n"/>
      <c r="E72" s="9" t="n"/>
      <c r="F72" s="9" t="n"/>
      <c r="G72" s="9" t="n"/>
      <c r="H72" s="9" t="n"/>
    </row>
    <row r="73">
      <c r="B73" s="10" t="inlineStr">
        <is>
          <t>[ + Add ]</t>
        </is>
      </c>
      <c r="C73" s="11" t="n"/>
      <c r="D73" s="10" t="inlineStr">
        <is>
          <t>[ Browse ]</t>
        </is>
      </c>
      <c r="E73" s="11" t="n"/>
    </row>
  </sheetData>
  <mergeCells count="25">
    <mergeCell ref="B16:C16"/>
    <mergeCell ref="F16:G16"/>
    <mergeCell ref="D63:E63"/>
    <mergeCell ref="B65:H65"/>
    <mergeCell ref="B55:H55"/>
    <mergeCell ref="B6:H6"/>
    <mergeCell ref="B1:P1"/>
    <mergeCell ref="B31:C31"/>
    <mergeCell ref="B43:C43"/>
    <mergeCell ref="B45:H45"/>
    <mergeCell ref="B35:H35"/>
    <mergeCell ref="B53:C53"/>
    <mergeCell ref="D53:E53"/>
    <mergeCell ref="B73:C73"/>
    <mergeCell ref="D16:E16"/>
    <mergeCell ref="B29:C29"/>
    <mergeCell ref="H16:I16"/>
    <mergeCell ref="D43:E43"/>
    <mergeCell ref="B30:C30"/>
    <mergeCell ref="B33:C33"/>
    <mergeCell ref="D73:E73"/>
    <mergeCell ref="B32:C32"/>
    <mergeCell ref="B63:C63"/>
    <mergeCell ref="B18:P18"/>
    <mergeCell ref="B28:H28"/>
  </mergeCells>
  <dataValidations count="1">
    <dataValidation sqref="B20:B25" showDropDown="0" showInputMessage="0" showErrorMessage="0" allowBlank="1" type="list">
      <formula1>=List_YesNo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B1:L84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14" customWidth="1" min="2" max="2"/>
    <col width="12" customWidth="1" min="3" max="3"/>
    <col width="14" customWidth="1" min="4" max="4"/>
    <col width="12" customWidth="1" min="5" max="5"/>
    <col width="14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14" customWidth="1" min="12" max="12"/>
  </cols>
  <sheetData>
    <row r="1" ht="24" customHeight="1">
      <c r="B1" s="1" t="inlineStr">
        <is>
          <t>Conversion Dashboard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</row>
    <row r="3" ht="16" customHeight="1">
      <c r="B3" s="15" t="inlineStr">
        <is>
          <t>Test ID:</t>
        </is>
      </c>
      <c r="C3" s="9">
        <f>Ctrl_TestID</f>
        <v/>
      </c>
      <c r="D3" s="15" t="inlineStr">
        <is>
          <t>Sample:</t>
        </is>
      </c>
      <c r="E3" s="9" t="n"/>
      <c r="F3" s="15" t="inlineStr">
        <is>
          <t>Flow:</t>
        </is>
      </c>
      <c r="G3" s="9">
        <f>GC_Flow_Conv_Nm3h</f>
        <v/>
      </c>
      <c r="H3" s="15" t="inlineStr">
        <is>
          <t>Check 1:</t>
        </is>
      </c>
      <c r="I3" s="9">
        <f>Ctrl_Verified1By</f>
        <v/>
      </c>
      <c r="J3" s="15" t="inlineStr">
        <is>
          <t>Check 2:</t>
        </is>
      </c>
      <c r="K3" s="9">
        <f>Ctrl_Verified2By</f>
        <v/>
      </c>
    </row>
    <row r="6" ht="24" customHeight="1">
      <c r="B6" s="3" t="inlineStr">
        <is>
          <t>Pre-Test Validation</t>
        </is>
      </c>
      <c r="C6" s="4" t="n"/>
      <c r="D6" s="4" t="n"/>
      <c r="E6" s="4" t="n"/>
      <c r="F6" s="4" t="n"/>
      <c r="G6" s="4" t="n"/>
      <c r="H6" s="4" t="n"/>
    </row>
    <row r="7" ht="20" customHeight="1">
      <c r="B7" s="8" t="inlineStr">
        <is>
          <t>Parameter</t>
        </is>
      </c>
      <c r="C7" s="8" t="inlineStr">
        <is>
          <t>Actual</t>
        </is>
      </c>
      <c r="D7" s="8" t="inlineStr">
        <is>
          <t>Target</t>
        </is>
      </c>
      <c r="E7" s="8" t="inlineStr">
        <is>
          <t>LSL</t>
        </is>
      </c>
      <c r="F7" s="8" t="inlineStr">
        <is>
          <t>USL</t>
        </is>
      </c>
      <c r="G7" s="8" t="inlineStr">
        <is>
          <t>Status</t>
        </is>
      </c>
    </row>
    <row r="8" ht="16" customHeight="1">
      <c r="B8" s="5" t="inlineStr">
        <is>
          <t>Temperature</t>
        </is>
      </c>
      <c r="C8" s="9" t="n"/>
      <c r="D8" s="9" t="n"/>
      <c r="E8" s="9" t="n"/>
      <c r="F8" s="9" t="n"/>
      <c r="G8" s="9" t="n"/>
    </row>
    <row r="9" ht="16" customHeight="1">
      <c r="B9" s="5" t="inlineStr">
        <is>
          <t>Flow</t>
        </is>
      </c>
      <c r="C9" s="9" t="n"/>
      <c r="D9" s="9" t="n"/>
      <c r="E9" s="9" t="n"/>
      <c r="F9" s="9" t="n"/>
      <c r="G9" s="9" t="n"/>
    </row>
    <row r="10" ht="16" customHeight="1">
      <c r="B10" s="5" t="inlineStr">
        <is>
          <t>O₂</t>
        </is>
      </c>
      <c r="C10" s="9" t="n"/>
      <c r="D10" s="9" t="n"/>
      <c r="E10" s="9" t="n"/>
      <c r="F10" s="9" t="n"/>
      <c r="G10" s="9" t="n"/>
    </row>
    <row r="11" ht="16" customHeight="1">
      <c r="B11" s="5" t="inlineStr">
        <is>
          <t>NOx</t>
        </is>
      </c>
      <c r="C11" s="9" t="n"/>
      <c r="D11" s="9" t="n"/>
      <c r="E11" s="9" t="n"/>
      <c r="F11" s="9" t="n"/>
      <c r="G11" s="9" t="n"/>
    </row>
    <row r="12" ht="16" customHeight="1">
      <c r="B12" s="5" t="inlineStr">
        <is>
          <t>SO₂</t>
        </is>
      </c>
      <c r="C12" s="9" t="n"/>
      <c r="D12" s="9" t="n"/>
      <c r="E12" s="9" t="n"/>
      <c r="F12" s="9" t="n"/>
      <c r="G12" s="9" t="n"/>
    </row>
    <row r="13" ht="16" customHeight="1">
      <c r="B13" s="5" t="inlineStr">
        <is>
          <t>SO₃</t>
        </is>
      </c>
      <c r="C13" s="9" t="n"/>
      <c r="D13" s="9" t="n"/>
      <c r="E13" s="9" t="n"/>
      <c r="F13" s="9" t="n"/>
      <c r="G13" s="9" t="n"/>
    </row>
    <row r="14" ht="16" customHeight="1">
      <c r="B14" s="5" t="inlineStr">
        <is>
          <t>NH₃ (MR&gt;0)</t>
        </is>
      </c>
      <c r="C14" s="9" t="n"/>
      <c r="D14" s="9" t="n"/>
      <c r="E14" s="9" t="n"/>
      <c r="F14" s="9" t="n"/>
      <c r="G14" s="9" t="n"/>
    </row>
    <row r="15" ht="16" customHeight="1">
      <c r="B15" s="5" t="inlineStr">
        <is>
          <t>MR (MR&gt;0)</t>
        </is>
      </c>
      <c r="C15" s="9" t="n"/>
      <c r="D15" s="9" t="n"/>
      <c r="E15" s="9" t="n"/>
      <c r="F15" s="9" t="n"/>
      <c r="G15" s="9" t="n"/>
    </row>
    <row r="17">
      <c r="B17" s="10" t="inlineStr">
        <is>
          <t>[ Log Physical ]</t>
        </is>
      </c>
      <c r="C17" s="11" t="n"/>
      <c r="D17" s="10" t="inlineStr">
        <is>
          <t>[ Log SO3 ]</t>
        </is>
      </c>
      <c r="E17" s="11" t="n"/>
      <c r="F17" s="10" t="inlineStr">
        <is>
          <t>[ Log SO2 ]</t>
        </is>
      </c>
      <c r="G17" s="11" t="n"/>
      <c r="H17" s="10" t="inlineStr">
        <is>
          <t>[ Log NOx ]</t>
        </is>
      </c>
      <c r="I17" s="11" t="n"/>
      <c r="J17" s="10" t="inlineStr">
        <is>
          <t>[ Log NH3 ]</t>
        </is>
      </c>
      <c r="K17" s="11" t="n"/>
    </row>
    <row r="19" ht="24" customHeight="1">
      <c r="B19" s="3" t="inlineStr">
        <is>
          <t>Conversion Results</t>
        </is>
      </c>
      <c r="C19" s="4" t="n"/>
      <c r="D19" s="4" t="n"/>
      <c r="E19" s="4" t="n"/>
      <c r="F19" s="4" t="n"/>
      <c r="G19" s="4" t="n"/>
      <c r="H19" s="4" t="n"/>
      <c r="I19" s="4" t="n"/>
      <c r="J19" s="4" t="n"/>
      <c r="K19" s="4" t="n"/>
      <c r="L19" s="4" t="n"/>
    </row>
    <row r="20" ht="30" customHeight="1">
      <c r="B20" s="8" t="inlineStr">
        <is>
          <t>Use</t>
        </is>
      </c>
      <c r="C20" s="8" t="inlineStr">
        <is>
          <t>Out SO3 ID</t>
        </is>
      </c>
      <c r="D20" s="8" t="inlineStr">
        <is>
          <t>Out SO3</t>
        </is>
      </c>
      <c r="E20" s="8" t="inlineStr">
        <is>
          <t>In SO3 Src</t>
        </is>
      </c>
      <c r="F20" s="8" t="inlineStr">
        <is>
          <t>In SO3</t>
        </is>
      </c>
      <c r="G20" s="8" t="inlineStr">
        <is>
          <t>SO2 Src</t>
        </is>
      </c>
      <c r="H20" s="8" t="inlineStr">
        <is>
          <t>SO2 Used</t>
        </is>
      </c>
      <c r="I20" s="8" t="inlineStr">
        <is>
          <t>Difference</t>
        </is>
      </c>
      <c r="J20" s="8" t="inlineStr">
        <is>
          <t>Conv %</t>
        </is>
      </c>
      <c r="K20" s="8" t="inlineStr">
        <is>
          <t>NH3 ID</t>
        </is>
      </c>
      <c r="L20" s="8" t="inlineStr">
        <is>
          <t>Browse</t>
        </is>
      </c>
    </row>
    <row r="21" ht="16" customHeight="1">
      <c r="B21" s="6" t="n"/>
      <c r="C21" s="6" t="n"/>
      <c r="D21" s="9" t="n"/>
      <c r="E21" s="6" t="n"/>
      <c r="F21" s="9" t="n"/>
      <c r="G21" s="6" t="n"/>
      <c r="H21" s="9" t="n"/>
      <c r="I21" s="9" t="n"/>
      <c r="J21" s="9" t="n"/>
      <c r="K21" s="6" t="n"/>
      <c r="L21" s="10" t="inlineStr">
        <is>
          <t>Browse</t>
        </is>
      </c>
    </row>
    <row r="22" ht="16" customHeight="1">
      <c r="B22" s="6" t="n"/>
      <c r="C22" s="6" t="n"/>
      <c r="D22" s="9" t="n"/>
      <c r="E22" s="6" t="n"/>
      <c r="F22" s="9" t="n"/>
      <c r="G22" s="6" t="n"/>
      <c r="H22" s="9" t="n"/>
      <c r="I22" s="9" t="n"/>
      <c r="J22" s="9" t="n"/>
      <c r="K22" s="6" t="n"/>
      <c r="L22" s="10" t="inlineStr">
        <is>
          <t>Browse</t>
        </is>
      </c>
    </row>
    <row r="23" ht="16" customHeight="1">
      <c r="B23" s="6" t="n"/>
      <c r="C23" s="6" t="n"/>
      <c r="D23" s="9" t="n"/>
      <c r="E23" s="6" t="n"/>
      <c r="F23" s="9" t="n"/>
      <c r="G23" s="6" t="n"/>
      <c r="H23" s="9" t="n"/>
      <c r="I23" s="9" t="n"/>
      <c r="J23" s="9" t="n"/>
      <c r="K23" s="6" t="n"/>
      <c r="L23" s="10" t="inlineStr">
        <is>
          <t>Browse</t>
        </is>
      </c>
    </row>
    <row r="24" ht="16" customHeight="1">
      <c r="B24" s="6" t="n"/>
      <c r="C24" s="6" t="n"/>
      <c r="D24" s="9" t="n"/>
      <c r="E24" s="6" t="n"/>
      <c r="F24" s="9" t="n"/>
      <c r="G24" s="6" t="n"/>
      <c r="H24" s="9" t="n"/>
      <c r="I24" s="9" t="n"/>
      <c r="J24" s="9" t="n"/>
      <c r="K24" s="6" t="n"/>
      <c r="L24" s="10" t="inlineStr">
        <is>
          <t>Browse</t>
        </is>
      </c>
    </row>
    <row r="25" ht="16" customHeight="1">
      <c r="B25" s="6" t="n"/>
      <c r="C25" s="6" t="n"/>
      <c r="D25" s="9" t="n"/>
      <c r="E25" s="6" t="n"/>
      <c r="F25" s="9" t="n"/>
      <c r="G25" s="6" t="n"/>
      <c r="H25" s="9" t="n"/>
      <c r="I25" s="9" t="n"/>
      <c r="J25" s="9" t="n"/>
      <c r="K25" s="6" t="n"/>
      <c r="L25" s="10" t="inlineStr">
        <is>
          <t>Browse</t>
        </is>
      </c>
    </row>
    <row r="26" ht="16" customHeight="1">
      <c r="B26" s="6" t="n"/>
      <c r="C26" s="6" t="n"/>
      <c r="D26" s="9" t="n"/>
      <c r="E26" s="6" t="n"/>
      <c r="F26" s="9" t="n"/>
      <c r="G26" s="6" t="n"/>
      <c r="H26" s="9" t="n"/>
      <c r="I26" s="9" t="n"/>
      <c r="J26" s="9" t="n"/>
      <c r="K26" s="6" t="n"/>
      <c r="L26" s="10" t="inlineStr">
        <is>
          <t>Browse</t>
        </is>
      </c>
    </row>
    <row r="29" ht="24" customHeight="1">
      <c r="B29" s="3" t="inlineStr">
        <is>
          <t>Steady-State Check</t>
        </is>
      </c>
      <c r="C29" s="4" t="n"/>
      <c r="D29" s="4" t="n"/>
      <c r="E29" s="4" t="n"/>
      <c r="F29" s="4" t="n"/>
      <c r="G29" s="4" t="n"/>
      <c r="H29" s="4" t="n"/>
    </row>
    <row r="30" ht="16" customHeight="1">
      <c r="B30" s="5" t="inlineStr">
        <is>
          <t>Conv % Mean</t>
        </is>
      </c>
      <c r="C30" s="11" t="n"/>
      <c r="D30" s="9" t="n"/>
    </row>
    <row r="31" ht="16" customHeight="1">
      <c r="B31" s="5" t="inlineStr">
        <is>
          <t>Conv % StdDev</t>
        </is>
      </c>
      <c r="C31" s="11" t="n"/>
      <c r="D31" s="9" t="n"/>
    </row>
    <row r="32" ht="16" customHeight="1">
      <c r="B32" s="5" t="inlineStr">
        <is>
          <t>Normalized Slope</t>
        </is>
      </c>
      <c r="C32" s="11" t="n"/>
      <c r="D32" s="9" t="n"/>
    </row>
    <row r="33" ht="16" customHeight="1">
      <c r="B33" s="5" t="inlineStr">
        <is>
          <t>Steady-State Result</t>
        </is>
      </c>
      <c r="C33" s="11" t="n"/>
      <c r="D33" s="9" t="n"/>
    </row>
    <row r="34" ht="16" customHeight="1">
      <c r="B34" s="5" t="inlineStr">
        <is>
          <t>Points Used</t>
        </is>
      </c>
      <c r="C34" s="11" t="n"/>
      <c r="D34" s="9" t="n"/>
    </row>
    <row r="36" ht="24" customHeight="1">
      <c r="B36" s="18" t="inlineStr">
        <is>
          <t>SO₃ Outlet Readings</t>
        </is>
      </c>
      <c r="C36" s="2" t="n"/>
      <c r="D36" s="2" t="n"/>
      <c r="E36" s="2" t="n"/>
      <c r="F36" s="2" t="n"/>
      <c r="G36" s="2" t="n"/>
    </row>
    <row r="37" ht="20" customHeight="1">
      <c r="B37" s="8" t="inlineStr">
        <is>
          <t>RecordID</t>
        </is>
      </c>
      <c r="C37" s="8" t="inlineStr">
        <is>
          <t>SO3 (ppmvd)</t>
        </is>
      </c>
      <c r="D37" s="8" t="inlineStr">
        <is>
          <t>Pull Vol</t>
        </is>
      </c>
      <c r="E37" s="8" t="inlineStr">
        <is>
          <t>Time</t>
        </is>
      </c>
      <c r="F37" s="8" t="inlineStr">
        <is>
          <t>Technician</t>
        </is>
      </c>
      <c r="G37" s="8" t="inlineStr">
        <is>
          <t>Excluded</t>
        </is>
      </c>
    </row>
    <row r="38" ht="16" customHeight="1">
      <c r="B38" s="9" t="n"/>
      <c r="C38" s="9" t="n"/>
      <c r="D38" s="9" t="n"/>
      <c r="E38" s="9" t="n"/>
      <c r="F38" s="9" t="n"/>
      <c r="G38" s="9" t="n"/>
    </row>
    <row r="39" ht="16" customHeight="1">
      <c r="B39" s="9" t="n"/>
      <c r="C39" s="9" t="n"/>
      <c r="D39" s="9" t="n"/>
      <c r="E39" s="9" t="n"/>
      <c r="F39" s="9" t="n"/>
      <c r="G39" s="9" t="n"/>
    </row>
    <row r="40" ht="16" customHeight="1">
      <c r="B40" s="9" t="n"/>
      <c r="C40" s="9" t="n"/>
      <c r="D40" s="9" t="n"/>
      <c r="E40" s="9" t="n"/>
      <c r="F40" s="9" t="n"/>
      <c r="G40" s="9" t="n"/>
    </row>
    <row r="41" ht="16" customHeight="1">
      <c r="B41" s="9" t="n"/>
      <c r="C41" s="9" t="n"/>
      <c r="D41" s="9" t="n"/>
      <c r="E41" s="9" t="n"/>
      <c r="F41" s="9" t="n"/>
      <c r="G41" s="9" t="n"/>
    </row>
    <row r="42" ht="16" customHeight="1">
      <c r="B42" s="9" t="n"/>
      <c r="C42" s="9" t="n"/>
      <c r="D42" s="9" t="n"/>
      <c r="E42" s="9" t="n"/>
      <c r="F42" s="9" t="n"/>
      <c r="G42" s="9" t="n"/>
    </row>
    <row r="43" ht="16" customHeight="1">
      <c r="B43" s="9" t="n"/>
      <c r="C43" s="9" t="n"/>
      <c r="D43" s="9" t="n"/>
      <c r="E43" s="9" t="n"/>
      <c r="F43" s="9" t="n"/>
      <c r="G43" s="9" t="n"/>
    </row>
    <row r="44">
      <c r="B44" s="10" t="inlineStr">
        <is>
          <t>[ + Add ]</t>
        </is>
      </c>
      <c r="C44" s="11" t="n"/>
      <c r="D44" s="10" t="inlineStr">
        <is>
          <t>[ Browse ]</t>
        </is>
      </c>
      <c r="E44" s="11" t="n"/>
    </row>
    <row r="46" ht="24" customHeight="1">
      <c r="B46" s="18" t="inlineStr">
        <is>
          <t>SO₃ Inlet Readings</t>
        </is>
      </c>
      <c r="C46" s="2" t="n"/>
      <c r="D46" s="2" t="n"/>
      <c r="E46" s="2" t="n"/>
      <c r="F46" s="2" t="n"/>
      <c r="G46" s="2" t="n"/>
    </row>
    <row r="47" ht="20" customHeight="1">
      <c r="B47" s="8" t="inlineStr">
        <is>
          <t>RecordID</t>
        </is>
      </c>
      <c r="C47" s="8" t="inlineStr">
        <is>
          <t>SO3 (ppmvd)</t>
        </is>
      </c>
      <c r="D47" s="8" t="inlineStr">
        <is>
          <t>Pull Vol</t>
        </is>
      </c>
      <c r="E47" s="8" t="inlineStr">
        <is>
          <t>Time</t>
        </is>
      </c>
      <c r="F47" s="8" t="inlineStr">
        <is>
          <t>Technician</t>
        </is>
      </c>
      <c r="G47" s="8" t="inlineStr">
        <is>
          <t>Excluded</t>
        </is>
      </c>
    </row>
    <row r="48" ht="16" customHeight="1">
      <c r="B48" s="9" t="n"/>
      <c r="C48" s="9" t="n"/>
      <c r="D48" s="9" t="n"/>
      <c r="E48" s="9" t="n"/>
      <c r="F48" s="9" t="n"/>
      <c r="G48" s="9" t="n"/>
    </row>
    <row r="49" ht="16" customHeight="1">
      <c r="B49" s="9" t="n"/>
      <c r="C49" s="9" t="n"/>
      <c r="D49" s="9" t="n"/>
      <c r="E49" s="9" t="n"/>
      <c r="F49" s="9" t="n"/>
      <c r="G49" s="9" t="n"/>
    </row>
    <row r="50" ht="16" customHeight="1">
      <c r="B50" s="9" t="n"/>
      <c r="C50" s="9" t="n"/>
      <c r="D50" s="9" t="n"/>
      <c r="E50" s="9" t="n"/>
      <c r="F50" s="9" t="n"/>
      <c r="G50" s="9" t="n"/>
    </row>
    <row r="51" ht="16" customHeight="1">
      <c r="B51" s="9" t="n"/>
      <c r="C51" s="9" t="n"/>
      <c r="D51" s="9" t="n"/>
      <c r="E51" s="9" t="n"/>
      <c r="F51" s="9" t="n"/>
      <c r="G51" s="9" t="n"/>
    </row>
    <row r="52" ht="16" customHeight="1">
      <c r="B52" s="9" t="n"/>
      <c r="C52" s="9" t="n"/>
      <c r="D52" s="9" t="n"/>
      <c r="E52" s="9" t="n"/>
      <c r="F52" s="9" t="n"/>
      <c r="G52" s="9" t="n"/>
    </row>
    <row r="53" ht="16" customHeight="1">
      <c r="B53" s="9" t="n"/>
      <c r="C53" s="9" t="n"/>
      <c r="D53" s="9" t="n"/>
      <c r="E53" s="9" t="n"/>
      <c r="F53" s="9" t="n"/>
      <c r="G53" s="9" t="n"/>
    </row>
    <row r="54">
      <c r="B54" s="10" t="inlineStr">
        <is>
          <t>[ + Add ]</t>
        </is>
      </c>
      <c r="C54" s="11" t="n"/>
      <c r="D54" s="10" t="inlineStr">
        <is>
          <t>[ Browse ]</t>
        </is>
      </c>
      <c r="E54" s="11" t="n"/>
    </row>
    <row r="56" ht="24" customHeight="1">
      <c r="B56" s="18" t="inlineStr">
        <is>
          <t>SO₂ Readings</t>
        </is>
      </c>
      <c r="C56" s="2" t="n"/>
      <c r="D56" s="2" t="n"/>
      <c r="E56" s="2" t="n"/>
      <c r="F56" s="2" t="n"/>
      <c r="G56" s="2" t="n"/>
    </row>
    <row r="57" ht="20" customHeight="1">
      <c r="B57" s="8" t="inlineStr">
        <is>
          <t>RecordID</t>
        </is>
      </c>
      <c r="C57" s="8" t="inlineStr">
        <is>
          <t>SO2 (ppmvd)</t>
        </is>
      </c>
      <c r="D57" s="8" t="inlineStr">
        <is>
          <t>Stage</t>
        </is>
      </c>
      <c r="E57" s="8" t="inlineStr">
        <is>
          <t>Method</t>
        </is>
      </c>
      <c r="F57" s="8" t="inlineStr">
        <is>
          <t>Time</t>
        </is>
      </c>
      <c r="G57" s="8" t="inlineStr">
        <is>
          <t>Technician</t>
        </is>
      </c>
    </row>
    <row r="58" ht="16" customHeight="1">
      <c r="B58" s="9" t="n"/>
      <c r="C58" s="9" t="n"/>
      <c r="D58" s="9" t="n"/>
      <c r="E58" s="9" t="n"/>
      <c r="F58" s="9" t="n"/>
      <c r="G58" s="9" t="n"/>
    </row>
    <row r="59" ht="16" customHeight="1">
      <c r="B59" s="9" t="n"/>
      <c r="C59" s="9" t="n"/>
      <c r="D59" s="9" t="n"/>
      <c r="E59" s="9" t="n"/>
      <c r="F59" s="9" t="n"/>
      <c r="G59" s="9" t="n"/>
    </row>
    <row r="60" ht="16" customHeight="1">
      <c r="B60" s="9" t="n"/>
      <c r="C60" s="9" t="n"/>
      <c r="D60" s="9" t="n"/>
      <c r="E60" s="9" t="n"/>
      <c r="F60" s="9" t="n"/>
      <c r="G60" s="9" t="n"/>
    </row>
    <row r="61" ht="16" customHeight="1">
      <c r="B61" s="9" t="n"/>
      <c r="C61" s="9" t="n"/>
      <c r="D61" s="9" t="n"/>
      <c r="E61" s="9" t="n"/>
      <c r="F61" s="9" t="n"/>
      <c r="G61" s="9" t="n"/>
    </row>
    <row r="62" ht="16" customHeight="1">
      <c r="B62" s="9" t="n"/>
      <c r="C62" s="9" t="n"/>
      <c r="D62" s="9" t="n"/>
      <c r="E62" s="9" t="n"/>
      <c r="F62" s="9" t="n"/>
      <c r="G62" s="9" t="n"/>
    </row>
    <row r="63" ht="16" customHeight="1">
      <c r="B63" s="9" t="n"/>
      <c r="C63" s="9" t="n"/>
      <c r="D63" s="9" t="n"/>
      <c r="E63" s="9" t="n"/>
      <c r="F63" s="9" t="n"/>
      <c r="G63" s="9" t="n"/>
    </row>
    <row r="64">
      <c r="B64" s="10" t="inlineStr">
        <is>
          <t>[ + Add ]</t>
        </is>
      </c>
      <c r="C64" s="11" t="n"/>
      <c r="D64" s="10" t="inlineStr">
        <is>
          <t>[ Browse ]</t>
        </is>
      </c>
      <c r="E64" s="11" t="n"/>
    </row>
    <row r="66" ht="24" customHeight="1">
      <c r="B66" s="18" t="inlineStr">
        <is>
          <t>NOx Readings</t>
        </is>
      </c>
      <c r="C66" s="2" t="n"/>
      <c r="D66" s="2" t="n"/>
      <c r="E66" s="2" t="n"/>
      <c r="F66" s="2" t="n"/>
    </row>
    <row r="67" ht="20" customHeight="1">
      <c r="B67" s="8" t="inlineStr">
        <is>
          <t>RecordID</t>
        </is>
      </c>
      <c r="C67" s="8" t="inlineStr">
        <is>
          <t>NOx (ppmvd)</t>
        </is>
      </c>
      <c r="D67" s="8" t="inlineStr">
        <is>
          <t>Analyzer</t>
        </is>
      </c>
      <c r="E67" s="8" t="inlineStr">
        <is>
          <t>Time</t>
        </is>
      </c>
      <c r="F67" s="8" t="inlineStr">
        <is>
          <t>Technician</t>
        </is>
      </c>
    </row>
    <row r="68" ht="16" customHeight="1">
      <c r="B68" s="9" t="n"/>
      <c r="C68" s="9" t="n"/>
      <c r="D68" s="9" t="n"/>
      <c r="E68" s="9" t="n"/>
      <c r="F68" s="9" t="n"/>
    </row>
    <row r="69" ht="16" customHeight="1">
      <c r="B69" s="9" t="n"/>
      <c r="C69" s="9" t="n"/>
      <c r="D69" s="9" t="n"/>
      <c r="E69" s="9" t="n"/>
      <c r="F69" s="9" t="n"/>
    </row>
    <row r="70" ht="16" customHeight="1">
      <c r="B70" s="9" t="n"/>
      <c r="C70" s="9" t="n"/>
      <c r="D70" s="9" t="n"/>
      <c r="E70" s="9" t="n"/>
      <c r="F70" s="9" t="n"/>
    </row>
    <row r="71" ht="16" customHeight="1">
      <c r="B71" s="9" t="n"/>
      <c r="C71" s="9" t="n"/>
      <c r="D71" s="9" t="n"/>
      <c r="E71" s="9" t="n"/>
      <c r="F71" s="9" t="n"/>
    </row>
    <row r="72" ht="16" customHeight="1">
      <c r="B72" s="9" t="n"/>
      <c r="C72" s="9" t="n"/>
      <c r="D72" s="9" t="n"/>
      <c r="E72" s="9" t="n"/>
      <c r="F72" s="9" t="n"/>
    </row>
    <row r="73" ht="16" customHeight="1">
      <c r="B73" s="9" t="n"/>
      <c r="C73" s="9" t="n"/>
      <c r="D73" s="9" t="n"/>
      <c r="E73" s="9" t="n"/>
      <c r="F73" s="9" t="n"/>
    </row>
    <row r="74">
      <c r="B74" s="10" t="inlineStr">
        <is>
          <t>[ + Add ]</t>
        </is>
      </c>
      <c r="C74" s="11" t="n"/>
      <c r="D74" s="10" t="inlineStr">
        <is>
          <t>[ Browse ]</t>
        </is>
      </c>
      <c r="E74" s="11" t="n"/>
    </row>
    <row r="76" ht="24" customHeight="1">
      <c r="B76" s="18" t="inlineStr">
        <is>
          <t>NH₃ Readings</t>
        </is>
      </c>
      <c r="C76" s="2" t="n"/>
      <c r="D76" s="2" t="n"/>
      <c r="E76" s="2" t="n"/>
      <c r="F76" s="2" t="n"/>
      <c r="G76" s="2" t="n"/>
      <c r="H76" s="2" t="n"/>
    </row>
    <row r="77" ht="20" customHeight="1">
      <c r="B77" s="8" t="inlineStr">
        <is>
          <t>RecordID</t>
        </is>
      </c>
      <c r="C77" s="8" t="inlineStr">
        <is>
          <t>NH3 (ppmvd)</t>
        </is>
      </c>
      <c r="D77" s="8" t="inlineStr">
        <is>
          <t>Point</t>
        </is>
      </c>
      <c r="E77" s="8" t="inlineStr">
        <is>
          <t>Method</t>
        </is>
      </c>
      <c r="F77" s="8" t="inlineStr">
        <is>
          <t>H2O (%)</t>
        </is>
      </c>
      <c r="G77" s="8" t="inlineStr">
        <is>
          <t>Time</t>
        </is>
      </c>
      <c r="H77" s="8" t="inlineStr">
        <is>
          <t>Technician</t>
        </is>
      </c>
    </row>
    <row r="78" ht="16" customHeight="1">
      <c r="B78" s="9" t="n"/>
      <c r="C78" s="9" t="n"/>
      <c r="D78" s="9" t="n"/>
      <c r="E78" s="9" t="n"/>
      <c r="F78" s="9" t="n"/>
      <c r="G78" s="9" t="n"/>
      <c r="H78" s="9" t="n"/>
    </row>
    <row r="79" ht="16" customHeight="1">
      <c r="B79" s="9" t="n"/>
      <c r="C79" s="9" t="n"/>
      <c r="D79" s="9" t="n"/>
      <c r="E79" s="9" t="n"/>
      <c r="F79" s="9" t="n"/>
      <c r="G79" s="9" t="n"/>
      <c r="H79" s="9" t="n"/>
    </row>
    <row r="80" ht="16" customHeight="1">
      <c r="B80" s="9" t="n"/>
      <c r="C80" s="9" t="n"/>
      <c r="D80" s="9" t="n"/>
      <c r="E80" s="9" t="n"/>
      <c r="F80" s="9" t="n"/>
      <c r="G80" s="9" t="n"/>
      <c r="H80" s="9" t="n"/>
    </row>
    <row r="81" ht="16" customHeight="1">
      <c r="B81" s="9" t="n"/>
      <c r="C81" s="9" t="n"/>
      <c r="D81" s="9" t="n"/>
      <c r="E81" s="9" t="n"/>
      <c r="F81" s="9" t="n"/>
      <c r="G81" s="9" t="n"/>
      <c r="H81" s="9" t="n"/>
    </row>
    <row r="82" ht="16" customHeight="1">
      <c r="B82" s="9" t="n"/>
      <c r="C82" s="9" t="n"/>
      <c r="D82" s="9" t="n"/>
      <c r="E82" s="9" t="n"/>
      <c r="F82" s="9" t="n"/>
      <c r="G82" s="9" t="n"/>
      <c r="H82" s="9" t="n"/>
    </row>
    <row r="83" ht="16" customHeight="1">
      <c r="B83" s="9" t="n"/>
      <c r="C83" s="9" t="n"/>
      <c r="D83" s="9" t="n"/>
      <c r="E83" s="9" t="n"/>
      <c r="F83" s="9" t="n"/>
      <c r="G83" s="9" t="n"/>
      <c r="H83" s="9" t="n"/>
    </row>
    <row r="84">
      <c r="B84" s="10" t="inlineStr">
        <is>
          <t>[ + Add ]</t>
        </is>
      </c>
      <c r="C84" s="11" t="n"/>
      <c r="D84" s="10" t="inlineStr">
        <is>
          <t>[ Browse ]</t>
        </is>
      </c>
      <c r="E84" s="11" t="n"/>
    </row>
  </sheetData>
  <mergeCells count="29">
    <mergeCell ref="B54:C54"/>
    <mergeCell ref="B66:F66"/>
    <mergeCell ref="B6:H6"/>
    <mergeCell ref="D84:E84"/>
    <mergeCell ref="B31:C31"/>
    <mergeCell ref="B76:H76"/>
    <mergeCell ref="B17:C17"/>
    <mergeCell ref="D17:E17"/>
    <mergeCell ref="F17:G17"/>
    <mergeCell ref="B1:L1"/>
    <mergeCell ref="H17:I17"/>
    <mergeCell ref="B44:C44"/>
    <mergeCell ref="B36:G36"/>
    <mergeCell ref="B34:C34"/>
    <mergeCell ref="B19:L19"/>
    <mergeCell ref="B84:C84"/>
    <mergeCell ref="B74:C74"/>
    <mergeCell ref="B30:C30"/>
    <mergeCell ref="D74:E74"/>
    <mergeCell ref="B64:C64"/>
    <mergeCell ref="B46:G46"/>
    <mergeCell ref="B33:C33"/>
    <mergeCell ref="D64:E64"/>
    <mergeCell ref="B32:C32"/>
    <mergeCell ref="B29:H29"/>
    <mergeCell ref="D54:E54"/>
    <mergeCell ref="B56:G56"/>
    <mergeCell ref="D44:E44"/>
    <mergeCell ref="J17:K17"/>
  </mergeCells>
  <dataValidations count="3">
    <dataValidation sqref="B21:B26" showDropDown="0" showInputMessage="0" showErrorMessage="0" allowBlank="1" type="list">
      <formula1>=List_YesNo</formula1>
    </dataValidation>
    <dataValidation sqref="E21:E26" showDropDown="0" showInputMessage="0" showErrorMessage="0" allowBlank="1" type="list">
      <formula1>=List_InletSO3Source</formula1>
    </dataValidation>
    <dataValidation sqref="G21:G26" showDropDown="0" showInputMessage="0" showErrorMessage="0" allowBlank="1" type="list">
      <formula1>=List_SO2Source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1:K16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4" customWidth="1" min="8" max="8"/>
    <col width="14" customWidth="1" min="9" max="9"/>
    <col width="14" customWidth="1" min="10" max="10"/>
    <col width="14" customWidth="1" min="11" max="11"/>
  </cols>
  <sheetData>
    <row r="1" ht="24" customHeight="1">
      <c r="B1" s="1" t="inlineStr">
        <is>
          <t>Differential Pressure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</row>
    <row r="3" ht="16" customHeight="1">
      <c r="B3" s="15" t="inlineStr">
        <is>
          <t>Test ID:</t>
        </is>
      </c>
      <c r="C3" s="9">
        <f>Ctrl_TestID</f>
        <v/>
      </c>
      <c r="D3" s="15" t="inlineStr">
        <is>
          <t>Check 1:</t>
        </is>
      </c>
      <c r="E3" s="9">
        <f>Ctrl_Verified1By</f>
        <v/>
      </c>
      <c r="F3" s="15" t="inlineStr">
        <is>
          <t>Check 2:</t>
        </is>
      </c>
      <c r="G3" s="9">
        <f>Ctrl_Verified2By</f>
        <v/>
      </c>
    </row>
    <row r="5" ht="24" customHeight="1">
      <c r="B5" s="3" t="inlineStr">
        <is>
          <t>DP Measurements</t>
        </is>
      </c>
      <c r="C5" s="4" t="n"/>
      <c r="D5" s="4" t="n"/>
      <c r="E5" s="4" t="n"/>
      <c r="F5" s="4" t="n"/>
      <c r="G5" s="4" t="n"/>
      <c r="H5" s="4" t="n"/>
      <c r="I5" s="4" t="n"/>
      <c r="J5" s="4" t="n"/>
      <c r="K5" s="4" t="n"/>
    </row>
    <row r="6" ht="20" customHeight="1">
      <c r="B6" s="8" t="inlineStr">
        <is>
          <t>RecordID</t>
        </is>
      </c>
      <c r="C6" s="8" t="inlineStr">
        <is>
          <t>Test Type</t>
        </is>
      </c>
      <c r="D6" s="8" t="inlineStr">
        <is>
          <t>DP@S2</t>
        </is>
      </c>
      <c r="E6" s="8" t="inlineStr">
        <is>
          <t>DP@S3</t>
        </is>
      </c>
      <c r="F6" s="8" t="inlineStr">
        <is>
          <t>DP@S4</t>
        </is>
      </c>
      <c r="G6" s="8" t="inlineStr">
        <is>
          <t>DP@S5</t>
        </is>
      </c>
      <c r="H6" s="8" t="inlineStr">
        <is>
          <t>DP Total</t>
        </is>
      </c>
      <c r="I6" s="8" t="inlineStr">
        <is>
          <t>Theory DP</t>
        </is>
      </c>
      <c r="J6" s="8" t="inlineStr">
        <is>
          <t>% Theory</t>
        </is>
      </c>
      <c r="K6" s="8" t="inlineStr">
        <is>
          <t>Status</t>
        </is>
      </c>
    </row>
    <row r="7" ht="16" customHeight="1">
      <c r="B7" s="9" t="n"/>
      <c r="C7" s="9" t="n"/>
      <c r="D7" s="9" t="n"/>
      <c r="E7" s="9" t="n"/>
      <c r="F7" s="9" t="n"/>
      <c r="G7" s="9" t="n"/>
      <c r="H7" s="9" t="n"/>
      <c r="I7" s="9" t="n"/>
      <c r="J7" s="9" t="n"/>
      <c r="K7" s="9" t="n"/>
    </row>
    <row r="8" ht="16" customHeight="1">
      <c r="B8" s="9" t="n"/>
      <c r="C8" s="9" t="n"/>
      <c r="D8" s="9" t="n"/>
      <c r="E8" s="9" t="n"/>
      <c r="F8" s="9" t="n"/>
      <c r="G8" s="9" t="n"/>
      <c r="H8" s="9" t="n"/>
      <c r="I8" s="9" t="n"/>
      <c r="J8" s="9" t="n"/>
      <c r="K8" s="9" t="n"/>
    </row>
    <row r="9" ht="16" customHeight="1">
      <c r="B9" s="9" t="n"/>
      <c r="C9" s="9" t="n"/>
      <c r="D9" s="9" t="n"/>
      <c r="E9" s="9" t="n"/>
      <c r="F9" s="9" t="n"/>
      <c r="G9" s="9" t="n"/>
      <c r="H9" s="9" t="n"/>
      <c r="I9" s="9" t="n"/>
      <c r="J9" s="9" t="n"/>
      <c r="K9" s="9" t="n"/>
    </row>
    <row r="10" ht="16" customHeight="1">
      <c r="B10" s="9" t="n"/>
      <c r="C10" s="9" t="n"/>
      <c r="D10" s="9" t="n"/>
      <c r="E10" s="9" t="n"/>
      <c r="F10" s="9" t="n"/>
      <c r="G10" s="9" t="n"/>
      <c r="H10" s="9" t="n"/>
      <c r="I10" s="9" t="n"/>
      <c r="J10" s="9" t="n"/>
      <c r="K10" s="9" t="n"/>
    </row>
    <row r="11" ht="16" customHeight="1">
      <c r="B11" s="9" t="n"/>
      <c r="C11" s="9" t="n"/>
      <c r="D11" s="9" t="n"/>
      <c r="E11" s="9" t="n"/>
      <c r="F11" s="9" t="n"/>
      <c r="G11" s="9" t="n"/>
      <c r="H11" s="9" t="n"/>
      <c r="I11" s="9" t="n"/>
      <c r="J11" s="9" t="n"/>
      <c r="K11" s="9" t="n"/>
    </row>
    <row r="12" ht="16" customHeight="1">
      <c r="B12" s="9" t="n"/>
      <c r="C12" s="9" t="n"/>
      <c r="D12" s="9" t="n"/>
      <c r="E12" s="9" t="n"/>
      <c r="F12" s="9" t="n"/>
      <c r="G12" s="9" t="n"/>
      <c r="H12" s="9" t="n"/>
      <c r="I12" s="9" t="n"/>
      <c r="J12" s="9" t="n"/>
      <c r="K12" s="9" t="n"/>
    </row>
    <row r="14">
      <c r="B14" s="10" t="inlineStr">
        <is>
          <t>[ Log DP ]</t>
        </is>
      </c>
      <c r="C14" s="11" t="n"/>
      <c r="D14" s="11" t="n"/>
    </row>
    <row r="16">
      <c r="B16" s="10" t="inlineStr">
        <is>
          <t>[ Back to Home ]</t>
        </is>
      </c>
      <c r="C16" s="11" t="n"/>
      <c r="D16" s="11" t="n"/>
    </row>
  </sheetData>
  <mergeCells count="4">
    <mergeCell ref="B16:D16"/>
    <mergeCell ref="B14:D14"/>
    <mergeCell ref="B1:K1"/>
    <mergeCell ref="B5:K5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U2"/>
  <sheetViews>
    <sheetView workbookViewId="0">
      <selection activeCell="A1" sqref="A1"/>
    </sheetView>
  </sheetViews>
  <sheetFormatPr baseColWidth="8" defaultRowHeight="15"/>
  <cols>
    <col width="16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16" customWidth="1" min="10" max="10"/>
    <col width="16" customWidth="1" min="11" max="11"/>
    <col width="16" customWidth="1" min="12" max="12"/>
    <col width="16" customWidth="1" min="13" max="13"/>
    <col width="16" customWidth="1" min="14" max="14"/>
    <col width="16" customWidth="1" min="15" max="15"/>
    <col width="16" customWidth="1" min="16" max="16"/>
    <col width="16" customWidth="1" min="17" max="17"/>
    <col width="16" customWidth="1" min="18" max="18"/>
    <col width="16" customWidth="1" min="19" max="19"/>
    <col width="16" customWidth="1" min="20" max="20"/>
    <col width="16" customWidth="1" min="21" max="21"/>
  </cols>
  <sheetData>
    <row r="1" ht="20" customHeight="1">
      <c r="A1" s="8" t="inlineStr">
        <is>
          <t>RecordID</t>
        </is>
      </c>
      <c r="B1" s="8" t="inlineStr">
        <is>
          <t>TestID</t>
        </is>
      </c>
      <c r="C1" s="8" t="inlineStr">
        <is>
          <t>EntryType</t>
        </is>
      </c>
      <c r="D1" s="8" t="inlineStr">
        <is>
          <t>DateEntered</t>
        </is>
      </c>
      <c r="E1" s="8" t="inlineStr">
        <is>
          <t>TimeEntered</t>
        </is>
      </c>
      <c r="F1" s="8" t="inlineStr">
        <is>
          <t>EnteredBy</t>
        </is>
      </c>
      <c r="G1" s="8" t="inlineStr">
        <is>
          <t>LastModifiedDate</t>
        </is>
      </c>
      <c r="H1" s="8" t="inlineStr">
        <is>
          <t>LastModifiedTime</t>
        </is>
      </c>
      <c r="I1" s="8" t="inlineStr">
        <is>
          <t>LastModifiedBy</t>
        </is>
      </c>
      <c r="J1" s="8" t="inlineStr">
        <is>
          <t>Excluded</t>
        </is>
      </c>
      <c r="K1" s="8" t="inlineStr">
        <is>
          <t>ExcludeReason</t>
        </is>
      </c>
      <c r="L1" s="8" t="inlineStr">
        <is>
          <t>Notes</t>
        </is>
      </c>
      <c r="M1" s="8" t="inlineStr">
        <is>
          <t>TestType</t>
        </is>
      </c>
      <c r="N1" s="8" t="inlineStr">
        <is>
          <t>SamplePoint</t>
        </is>
      </c>
      <c r="O1" s="8" t="inlineStr">
        <is>
          <t>Analyzer</t>
        </is>
      </c>
      <c r="P1" s="8" t="inlineStr">
        <is>
          <t>FTIR_NO_Wet</t>
        </is>
      </c>
      <c r="Q1" s="8" t="inlineStr">
        <is>
          <t>FTIR_NO2_Wet</t>
        </is>
      </c>
      <c r="R1" s="8" t="inlineStr">
        <is>
          <t>FTIR_H2O_Pct</t>
        </is>
      </c>
      <c r="S1" s="8" t="inlineStr">
        <is>
          <t>NOxAn_NO_Dry</t>
        </is>
      </c>
      <c r="T1" s="8" t="inlineStr">
        <is>
          <t>NOxAn_NO2_Dry</t>
        </is>
      </c>
      <c r="U1" s="8" t="inlineStr">
        <is>
          <t>DryNOxUsed</t>
        </is>
      </c>
    </row>
    <row r="2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19" t="n"/>
      <c r="S2" s="19" t="n"/>
      <c r="T2" s="19" t="n"/>
      <c r="U2" s="19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W2"/>
  <sheetViews>
    <sheetView workbookViewId="0">
      <selection activeCell="A1" sqref="A1"/>
    </sheetView>
  </sheetViews>
  <sheetFormatPr baseColWidth="8" defaultRowHeight="15"/>
  <cols>
    <col width="16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16" customWidth="1" min="10" max="10"/>
    <col width="16" customWidth="1" min="11" max="11"/>
    <col width="16" customWidth="1" min="12" max="12"/>
    <col width="16" customWidth="1" min="13" max="13"/>
    <col width="16" customWidth="1" min="14" max="14"/>
    <col width="16" customWidth="1" min="15" max="15"/>
    <col width="16" customWidth="1" min="16" max="16"/>
    <col width="16" customWidth="1" min="17" max="17"/>
    <col width="16" customWidth="1" min="18" max="18"/>
    <col width="16" customWidth="1" min="19" max="19"/>
    <col width="16" customWidth="1" min="20" max="20"/>
    <col width="16" customWidth="1" min="21" max="21"/>
    <col width="16" customWidth="1" min="22" max="22"/>
    <col width="16" customWidth="1" min="23" max="23"/>
  </cols>
  <sheetData>
    <row r="1" ht="20" customHeight="1">
      <c r="A1" s="8" t="inlineStr">
        <is>
          <t>RecordID</t>
        </is>
      </c>
      <c r="B1" s="8" t="inlineStr">
        <is>
          <t>TestID</t>
        </is>
      </c>
      <c r="C1" s="8" t="inlineStr">
        <is>
          <t>EntryType</t>
        </is>
      </c>
      <c r="D1" s="8" t="inlineStr">
        <is>
          <t>DateEntered</t>
        </is>
      </c>
      <c r="E1" s="8" t="inlineStr">
        <is>
          <t>TimeEntered</t>
        </is>
      </c>
      <c r="F1" s="8" t="inlineStr">
        <is>
          <t>EnteredBy</t>
        </is>
      </c>
      <c r="G1" s="8" t="inlineStr">
        <is>
          <t>LastModifiedDate</t>
        </is>
      </c>
      <c r="H1" s="8" t="inlineStr">
        <is>
          <t>LastModifiedTime</t>
        </is>
      </c>
      <c r="I1" s="8" t="inlineStr">
        <is>
          <t>LastModifiedBy</t>
        </is>
      </c>
      <c r="J1" s="8" t="inlineStr">
        <is>
          <t>Excluded</t>
        </is>
      </c>
      <c r="K1" s="8" t="inlineStr">
        <is>
          <t>ExcludeReason</t>
        </is>
      </c>
      <c r="L1" s="8" t="inlineStr">
        <is>
          <t>Notes</t>
        </is>
      </c>
      <c r="M1" s="8" t="inlineStr">
        <is>
          <t>TestType</t>
        </is>
      </c>
      <c r="N1" s="8" t="inlineStr">
        <is>
          <t>SamplePoint</t>
        </is>
      </c>
      <c r="O1" s="8" t="inlineStr">
        <is>
          <t>Method</t>
        </is>
      </c>
      <c r="P1" s="8" t="inlineStr">
        <is>
          <t>FTIR_NH3_Wet</t>
        </is>
      </c>
      <c r="Q1" s="8" t="inlineStr">
        <is>
          <t>FTIR_H2O_Pct</t>
        </is>
      </c>
      <c r="R1" s="8" t="inlineStr">
        <is>
          <t>IC_Result</t>
        </is>
      </c>
      <c r="S1" s="8" t="inlineStr">
        <is>
          <t>Dilution</t>
        </is>
      </c>
      <c r="T1" s="8" t="inlineStr">
        <is>
          <t>MeterVol_L</t>
        </is>
      </c>
      <c r="U1" s="8" t="inlineStr">
        <is>
          <t>MeterTemp_C</t>
        </is>
      </c>
      <c r="V1" s="8" t="inlineStr">
        <is>
          <t>BaroP_mmHg</t>
        </is>
      </c>
      <c r="W1" s="8" t="inlineStr">
        <is>
          <t>DryNH3</t>
        </is>
      </c>
    </row>
    <row r="2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19" t="n"/>
      <c r="S2" s="19" t="n"/>
      <c r="T2" s="19" t="n"/>
      <c r="U2" s="19" t="n"/>
      <c r="V2" s="19" t="n"/>
      <c r="W2" s="19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W2"/>
  <sheetViews>
    <sheetView workbookViewId="0">
      <selection activeCell="A1" sqref="A1"/>
    </sheetView>
  </sheetViews>
  <sheetFormatPr baseColWidth="8" defaultRowHeight="15"/>
  <cols>
    <col width="16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16" customWidth="1" min="10" max="10"/>
    <col width="16" customWidth="1" min="11" max="11"/>
    <col width="16" customWidth="1" min="12" max="12"/>
    <col width="16" customWidth="1" min="13" max="13"/>
    <col width="16" customWidth="1" min="14" max="14"/>
    <col width="16" customWidth="1" min="15" max="15"/>
    <col width="16" customWidth="1" min="16" max="16"/>
    <col width="16" customWidth="1" min="17" max="17"/>
    <col width="16" customWidth="1" min="18" max="18"/>
    <col width="16" customWidth="1" min="19" max="19"/>
    <col width="16" customWidth="1" min="20" max="20"/>
    <col width="16" customWidth="1" min="21" max="21"/>
    <col width="16" customWidth="1" min="22" max="22"/>
    <col width="16" customWidth="1" min="23" max="23"/>
  </cols>
  <sheetData>
    <row r="1" ht="20" customHeight="1">
      <c r="A1" s="8" t="inlineStr">
        <is>
          <t>RecordID</t>
        </is>
      </c>
      <c r="B1" s="8" t="inlineStr">
        <is>
          <t>TestID</t>
        </is>
      </c>
      <c r="C1" s="8" t="inlineStr">
        <is>
          <t>EntryType</t>
        </is>
      </c>
      <c r="D1" s="8" t="inlineStr">
        <is>
          <t>DateEntered</t>
        </is>
      </c>
      <c r="E1" s="8" t="inlineStr">
        <is>
          <t>TimeEntered</t>
        </is>
      </c>
      <c r="F1" s="8" t="inlineStr">
        <is>
          <t>EnteredBy</t>
        </is>
      </c>
      <c r="G1" s="8" t="inlineStr">
        <is>
          <t>LastModifiedDate</t>
        </is>
      </c>
      <c r="H1" s="8" t="inlineStr">
        <is>
          <t>LastModifiedTime</t>
        </is>
      </c>
      <c r="I1" s="8" t="inlineStr">
        <is>
          <t>LastModifiedBy</t>
        </is>
      </c>
      <c r="J1" s="8" t="inlineStr">
        <is>
          <t>Excluded</t>
        </is>
      </c>
      <c r="K1" s="8" t="inlineStr">
        <is>
          <t>ExcludeReason</t>
        </is>
      </c>
      <c r="L1" s="8" t="inlineStr">
        <is>
          <t>Notes</t>
        </is>
      </c>
      <c r="M1" s="8" t="inlineStr">
        <is>
          <t>TestType</t>
        </is>
      </c>
      <c r="N1" s="8" t="inlineStr">
        <is>
          <t>Stage</t>
        </is>
      </c>
      <c r="O1" s="8" t="inlineStr">
        <is>
          <t>Method</t>
        </is>
      </c>
      <c r="P1" s="8" t="inlineStr">
        <is>
          <t>FTIR_SO2_Wet</t>
        </is>
      </c>
      <c r="Q1" s="8" t="inlineStr">
        <is>
          <t>FTIR_H2O_Pct</t>
        </is>
      </c>
      <c r="R1" s="8" t="inlineStr">
        <is>
          <t>IC_Result</t>
        </is>
      </c>
      <c r="S1" s="8" t="inlineStr">
        <is>
          <t>Dilution</t>
        </is>
      </c>
      <c r="T1" s="8" t="inlineStr">
        <is>
          <t>MeterVol_L</t>
        </is>
      </c>
      <c r="U1" s="8" t="inlineStr">
        <is>
          <t>MeterTemp_C</t>
        </is>
      </c>
      <c r="V1" s="8" t="inlineStr">
        <is>
          <t>BaroP_mmHg</t>
        </is>
      </c>
      <c r="W1" s="8" t="inlineStr">
        <is>
          <t>DrySO2</t>
        </is>
      </c>
    </row>
    <row r="2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19" t="n"/>
      <c r="S2" s="19" t="n"/>
      <c r="T2" s="19" t="n"/>
      <c r="U2" s="19" t="n"/>
      <c r="V2" s="19" t="n"/>
      <c r="W2" s="19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W2"/>
  <sheetViews>
    <sheetView workbookViewId="0">
      <selection activeCell="A1" sqref="A1"/>
    </sheetView>
  </sheetViews>
  <sheetFormatPr baseColWidth="8" defaultRowHeight="15"/>
  <cols>
    <col width="16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16" customWidth="1" min="10" max="10"/>
    <col width="16" customWidth="1" min="11" max="11"/>
    <col width="16" customWidth="1" min="12" max="12"/>
    <col width="16" customWidth="1" min="13" max="13"/>
    <col width="16" customWidth="1" min="14" max="14"/>
    <col width="16" customWidth="1" min="15" max="15"/>
    <col width="16" customWidth="1" min="16" max="16"/>
    <col width="16" customWidth="1" min="17" max="17"/>
    <col width="16" customWidth="1" min="18" max="18"/>
    <col width="16" customWidth="1" min="19" max="19"/>
    <col width="16" customWidth="1" min="20" max="20"/>
    <col width="16" customWidth="1" min="21" max="21"/>
    <col width="16" customWidth="1" min="22" max="22"/>
    <col width="16" customWidth="1" min="23" max="23"/>
  </cols>
  <sheetData>
    <row r="1" ht="20" customHeight="1">
      <c r="A1" s="8" t="inlineStr">
        <is>
          <t>RecordID</t>
        </is>
      </c>
      <c r="B1" s="8" t="inlineStr">
        <is>
          <t>TestID</t>
        </is>
      </c>
      <c r="C1" s="8" t="inlineStr">
        <is>
          <t>EntryType</t>
        </is>
      </c>
      <c r="D1" s="8" t="inlineStr">
        <is>
          <t>DateEntered</t>
        </is>
      </c>
      <c r="E1" s="8" t="inlineStr">
        <is>
          <t>TimeEntered</t>
        </is>
      </c>
      <c r="F1" s="8" t="inlineStr">
        <is>
          <t>EnteredBy</t>
        </is>
      </c>
      <c r="G1" s="8" t="inlineStr">
        <is>
          <t>LastModifiedDate</t>
        </is>
      </c>
      <c r="H1" s="8" t="inlineStr">
        <is>
          <t>LastModifiedTime</t>
        </is>
      </c>
      <c r="I1" s="8" t="inlineStr">
        <is>
          <t>LastModifiedBy</t>
        </is>
      </c>
      <c r="J1" s="8" t="inlineStr">
        <is>
          <t>Excluded</t>
        </is>
      </c>
      <c r="K1" s="8" t="inlineStr">
        <is>
          <t>ExcludeReason</t>
        </is>
      </c>
      <c r="L1" s="8" t="inlineStr">
        <is>
          <t>Notes</t>
        </is>
      </c>
      <c r="M1" s="8" t="inlineStr">
        <is>
          <t>TestType</t>
        </is>
      </c>
      <c r="N1" s="8" t="inlineStr">
        <is>
          <t>SamplePoint</t>
        </is>
      </c>
      <c r="O1" s="8" t="inlineStr">
        <is>
          <t>PullVol_L</t>
        </is>
      </c>
      <c r="P1" s="8" t="inlineStr">
        <is>
          <t>IC_Result</t>
        </is>
      </c>
      <c r="Q1" s="8" t="inlineStr">
        <is>
          <t>Dilution</t>
        </is>
      </c>
      <c r="R1" s="8" t="inlineStr">
        <is>
          <t>MeterTemp_C</t>
        </is>
      </c>
      <c r="S1" s="8" t="inlineStr">
        <is>
          <t>RoomP_mmHg</t>
        </is>
      </c>
      <c r="T1" s="8" t="inlineStr">
        <is>
          <t>CorrectedGasVol</t>
        </is>
      </c>
      <c r="U1" s="8" t="inlineStr">
        <is>
          <t>DryMoles</t>
        </is>
      </c>
      <c r="V1" s="8" t="inlineStr">
        <is>
          <t>SO3Moles</t>
        </is>
      </c>
      <c r="W1" s="8" t="inlineStr">
        <is>
          <t>DrySO3</t>
        </is>
      </c>
    </row>
    <row r="2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19" t="n"/>
      <c r="S2" s="19" t="n"/>
      <c r="T2" s="19" t="n"/>
      <c r="U2" s="19" t="n"/>
      <c r="V2" s="19" t="n"/>
      <c r="W2" s="19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O2"/>
  <sheetViews>
    <sheetView workbookViewId="0">
      <selection activeCell="A1" sqref="A1"/>
    </sheetView>
  </sheetViews>
  <sheetFormatPr baseColWidth="8" defaultRowHeight="15"/>
  <cols>
    <col width="16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16" customWidth="1" min="10" max="10"/>
    <col width="16" customWidth="1" min="11" max="11"/>
    <col width="16" customWidth="1" min="12" max="12"/>
    <col width="16" customWidth="1" min="13" max="13"/>
    <col width="16" customWidth="1" min="14" max="14"/>
    <col width="16" customWidth="1" min="15" max="15"/>
  </cols>
  <sheetData>
    <row r="1" ht="20" customHeight="1">
      <c r="A1" s="8" t="inlineStr">
        <is>
          <t>RecordID</t>
        </is>
      </c>
      <c r="B1" s="8" t="inlineStr">
        <is>
          <t>TestID</t>
        </is>
      </c>
      <c r="C1" s="8" t="inlineStr">
        <is>
          <t>EntryType</t>
        </is>
      </c>
      <c r="D1" s="8" t="inlineStr">
        <is>
          <t>DateEntered</t>
        </is>
      </c>
      <c r="E1" s="8" t="inlineStr">
        <is>
          <t>TimeEntered</t>
        </is>
      </c>
      <c r="F1" s="8" t="inlineStr">
        <is>
          <t>EnteredBy</t>
        </is>
      </c>
      <c r="G1" s="8" t="inlineStr">
        <is>
          <t>LastModifiedDate</t>
        </is>
      </c>
      <c r="H1" s="8" t="inlineStr">
        <is>
          <t>LastModifiedTime</t>
        </is>
      </c>
      <c r="I1" s="8" t="inlineStr">
        <is>
          <t>LastModifiedBy</t>
        </is>
      </c>
      <c r="J1" s="8" t="inlineStr">
        <is>
          <t>Excluded</t>
        </is>
      </c>
      <c r="K1" s="8" t="inlineStr">
        <is>
          <t>ExcludeReason</t>
        </is>
      </c>
      <c r="L1" s="8" t="inlineStr">
        <is>
          <t>Notes</t>
        </is>
      </c>
      <c r="M1" s="8" t="inlineStr">
        <is>
          <t>TestType</t>
        </is>
      </c>
      <c r="N1" s="8" t="inlineStr">
        <is>
          <t>Context</t>
        </is>
      </c>
      <c r="O1" s="8" t="inlineStr">
        <is>
          <t>Value_C</t>
        </is>
      </c>
    </row>
    <row r="2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O2"/>
  <sheetViews>
    <sheetView workbookViewId="0">
      <selection activeCell="A1" sqref="A1"/>
    </sheetView>
  </sheetViews>
  <sheetFormatPr baseColWidth="8" defaultRowHeight="15"/>
  <cols>
    <col width="16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16" customWidth="1" min="10" max="10"/>
    <col width="16" customWidth="1" min="11" max="11"/>
    <col width="16" customWidth="1" min="12" max="12"/>
    <col width="16" customWidth="1" min="13" max="13"/>
    <col width="16" customWidth="1" min="14" max="14"/>
    <col width="16" customWidth="1" min="15" max="15"/>
  </cols>
  <sheetData>
    <row r="1" ht="20" customHeight="1">
      <c r="A1" s="8" t="inlineStr">
        <is>
          <t>RecordID</t>
        </is>
      </c>
      <c r="B1" s="8" t="inlineStr">
        <is>
          <t>TestID</t>
        </is>
      </c>
      <c r="C1" s="8" t="inlineStr">
        <is>
          <t>EntryType</t>
        </is>
      </c>
      <c r="D1" s="8" t="inlineStr">
        <is>
          <t>DateEntered</t>
        </is>
      </c>
      <c r="E1" s="8" t="inlineStr">
        <is>
          <t>TimeEntered</t>
        </is>
      </c>
      <c r="F1" s="8" t="inlineStr">
        <is>
          <t>EnteredBy</t>
        </is>
      </c>
      <c r="G1" s="8" t="inlineStr">
        <is>
          <t>LastModifiedDate</t>
        </is>
      </c>
      <c r="H1" s="8" t="inlineStr">
        <is>
          <t>LastModifiedTime</t>
        </is>
      </c>
      <c r="I1" s="8" t="inlineStr">
        <is>
          <t>LastModifiedBy</t>
        </is>
      </c>
      <c r="J1" s="8" t="inlineStr">
        <is>
          <t>Excluded</t>
        </is>
      </c>
      <c r="K1" s="8" t="inlineStr">
        <is>
          <t>ExcludeReason</t>
        </is>
      </c>
      <c r="L1" s="8" t="inlineStr">
        <is>
          <t>Notes</t>
        </is>
      </c>
      <c r="M1" s="8" t="inlineStr">
        <is>
          <t>TestType</t>
        </is>
      </c>
      <c r="N1" s="8" t="inlineStr">
        <is>
          <t>Context</t>
        </is>
      </c>
      <c r="O1" s="8" t="inlineStr">
        <is>
          <t>Value_scfm</t>
        </is>
      </c>
    </row>
    <row r="2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O2"/>
  <sheetViews>
    <sheetView workbookViewId="0">
      <selection activeCell="A1" sqref="A1"/>
    </sheetView>
  </sheetViews>
  <sheetFormatPr baseColWidth="8" defaultRowHeight="15"/>
  <cols>
    <col width="16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16" customWidth="1" min="10" max="10"/>
    <col width="16" customWidth="1" min="11" max="11"/>
    <col width="16" customWidth="1" min="12" max="12"/>
    <col width="16" customWidth="1" min="13" max="13"/>
    <col width="16" customWidth="1" min="14" max="14"/>
    <col width="16" customWidth="1" min="15" max="15"/>
  </cols>
  <sheetData>
    <row r="1" ht="20" customHeight="1">
      <c r="A1" s="8" t="inlineStr">
        <is>
          <t>RecordID</t>
        </is>
      </c>
      <c r="B1" s="8" t="inlineStr">
        <is>
          <t>TestID</t>
        </is>
      </c>
      <c r="C1" s="8" t="inlineStr">
        <is>
          <t>EntryType</t>
        </is>
      </c>
      <c r="D1" s="8" t="inlineStr">
        <is>
          <t>DateEntered</t>
        </is>
      </c>
      <c r="E1" s="8" t="inlineStr">
        <is>
          <t>TimeEntered</t>
        </is>
      </c>
      <c r="F1" s="8" t="inlineStr">
        <is>
          <t>EnteredBy</t>
        </is>
      </c>
      <c r="G1" s="8" t="inlineStr">
        <is>
          <t>LastModifiedDate</t>
        </is>
      </c>
      <c r="H1" s="8" t="inlineStr">
        <is>
          <t>LastModifiedTime</t>
        </is>
      </c>
      <c r="I1" s="8" t="inlineStr">
        <is>
          <t>LastModifiedBy</t>
        </is>
      </c>
      <c r="J1" s="8" t="inlineStr">
        <is>
          <t>Excluded</t>
        </is>
      </c>
      <c r="K1" s="8" t="inlineStr">
        <is>
          <t>ExcludeReason</t>
        </is>
      </c>
      <c r="L1" s="8" t="inlineStr">
        <is>
          <t>Notes</t>
        </is>
      </c>
      <c r="M1" s="8" t="inlineStr">
        <is>
          <t>TestType</t>
        </is>
      </c>
      <c r="N1" s="8" t="inlineStr">
        <is>
          <t>Context</t>
        </is>
      </c>
      <c r="O1" s="8" t="inlineStr">
        <is>
          <t>Value_Pct</t>
        </is>
      </c>
    </row>
    <row r="2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U2"/>
  <sheetViews>
    <sheetView workbookViewId="0">
      <selection activeCell="A1" sqref="A1"/>
    </sheetView>
  </sheetViews>
  <sheetFormatPr baseColWidth="8" defaultRowHeight="15"/>
  <cols>
    <col width="16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16" customWidth="1" min="10" max="10"/>
    <col width="16" customWidth="1" min="11" max="11"/>
    <col width="16" customWidth="1" min="12" max="12"/>
    <col width="16" customWidth="1" min="13" max="13"/>
    <col width="16" customWidth="1" min="14" max="14"/>
    <col width="16" customWidth="1" min="15" max="15"/>
    <col width="16" customWidth="1" min="16" max="16"/>
    <col width="16" customWidth="1" min="17" max="17"/>
    <col width="16" customWidth="1" min="18" max="18"/>
    <col width="16" customWidth="1" min="19" max="19"/>
    <col width="16" customWidth="1" min="20" max="20"/>
    <col width="16" customWidth="1" min="21" max="21"/>
  </cols>
  <sheetData>
    <row r="1" ht="20" customHeight="1">
      <c r="A1" s="8" t="inlineStr">
        <is>
          <t>RecordID</t>
        </is>
      </c>
      <c r="B1" s="8" t="inlineStr">
        <is>
          <t>TestID</t>
        </is>
      </c>
      <c r="C1" s="8" t="inlineStr">
        <is>
          <t>EntryType</t>
        </is>
      </c>
      <c r="D1" s="8" t="inlineStr">
        <is>
          <t>DateEntered</t>
        </is>
      </c>
      <c r="E1" s="8" t="inlineStr">
        <is>
          <t>TimeEntered</t>
        </is>
      </c>
      <c r="F1" s="8" t="inlineStr">
        <is>
          <t>EnteredBy</t>
        </is>
      </c>
      <c r="G1" s="8" t="inlineStr">
        <is>
          <t>LastModifiedDate</t>
        </is>
      </c>
      <c r="H1" s="8" t="inlineStr">
        <is>
          <t>LastModifiedTime</t>
        </is>
      </c>
      <c r="I1" s="8" t="inlineStr">
        <is>
          <t>LastModifiedBy</t>
        </is>
      </c>
      <c r="J1" s="8" t="inlineStr">
        <is>
          <t>Excluded</t>
        </is>
      </c>
      <c r="K1" s="8" t="inlineStr">
        <is>
          <t>ExcludeReason</t>
        </is>
      </c>
      <c r="L1" s="8" t="inlineStr">
        <is>
          <t>Notes</t>
        </is>
      </c>
      <c r="M1" s="8" t="inlineStr">
        <is>
          <t>TestType</t>
        </is>
      </c>
      <c r="N1" s="8" t="inlineStr">
        <is>
          <t>DP_S2</t>
        </is>
      </c>
      <c r="O1" s="8" t="inlineStr">
        <is>
          <t>DP_S3</t>
        </is>
      </c>
      <c r="P1" s="8" t="inlineStr">
        <is>
          <t>DP_S4</t>
        </is>
      </c>
      <c r="Q1" s="8" t="inlineStr">
        <is>
          <t>DP_S5</t>
        </is>
      </c>
      <c r="R1" s="8" t="inlineStr">
        <is>
          <t>DPTotal</t>
        </is>
      </c>
      <c r="S1" s="8" t="inlineStr">
        <is>
          <t>TheoryDP</t>
        </is>
      </c>
      <c r="T1" s="8" t="inlineStr">
        <is>
          <t>PctTheory</t>
        </is>
      </c>
      <c r="U1" s="8" t="inlineStr">
        <is>
          <t>Status</t>
        </is>
      </c>
    </row>
    <row r="2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19" t="n"/>
      <c r="S2" s="19" t="n"/>
      <c r="T2" s="19" t="n"/>
      <c r="U2" s="19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B1:H125"/>
  <sheetViews>
    <sheetView workbookViewId="0">
      <selection activeCell="A1" sqref="A1"/>
    </sheetView>
  </sheetViews>
  <sheetFormatPr baseColWidth="8" defaultRowHeight="15"/>
  <cols>
    <col width="3" customWidth="1" min="1" max="1"/>
    <col width="32" customWidth="1" min="2" max="2"/>
    <col width="22" customWidth="1" min="3" max="3"/>
    <col width="22" customWidth="1" min="4" max="4"/>
    <col width="22" customWidth="1" min="5" max="5"/>
    <col width="22" customWidth="1" min="6" max="6"/>
    <col width="22" customWidth="1" min="7" max="7"/>
    <col width="22" customWidth="1" min="8" max="8"/>
    <col width="22" customWidth="1" min="9" max="9"/>
    <col width="22" customWidth="1" min="10" max="10"/>
    <col width="22" customWidth="1" min="11" max="11"/>
  </cols>
  <sheetData>
    <row r="1" ht="24" customHeight="1">
      <c r="B1" s="1" t="inlineStr">
        <is>
          <t>Geometry Calc Engine</t>
        </is>
      </c>
      <c r="C1" s="2" t="n"/>
      <c r="D1" s="2" t="n"/>
      <c r="E1" s="2" t="n"/>
      <c r="F1" s="2" t="n"/>
      <c r="G1" s="2" t="n"/>
      <c r="H1" s="2" t="n"/>
    </row>
    <row r="3" ht="24" customHeight="1">
      <c r="B3" s="18" t="inlineStr">
        <is>
          <t>Active Geometry / Mode Selection</t>
        </is>
      </c>
      <c r="C3" s="2" t="n"/>
      <c r="D3" s="2" t="n"/>
      <c r="E3" s="2" t="n"/>
      <c r="F3" s="2" t="n"/>
      <c r="G3" s="2" t="n"/>
      <c r="H3" s="2" t="n"/>
    </row>
    <row r="4">
      <c r="B4" s="5" t="inlineStr">
        <is>
          <t>Active Geometry Type</t>
        </is>
      </c>
      <c r="C4" s="9">
        <f>Ctrl_ActiveGeometryType</f>
        <v/>
      </c>
    </row>
    <row r="5">
      <c r="B5" s="5" t="inlineStr">
        <is>
          <t>Is HC</t>
        </is>
      </c>
      <c r="C5" s="9">
        <f>IF(C4="HC",TRUE,FALSE)</f>
        <v/>
      </c>
    </row>
    <row r="6">
      <c r="B6" s="5" t="inlineStr">
        <is>
          <t>Is Plate</t>
        </is>
      </c>
      <c r="C6" s="9">
        <f>IF(C4="Plate",TRUE,FALSE)</f>
        <v/>
      </c>
    </row>
    <row r="7">
      <c r="B7" s="5" t="inlineStr">
        <is>
          <t>Is Corrugated</t>
        </is>
      </c>
      <c r="C7" s="9">
        <f>IF(C4="Corrugated",TRUE,FALSE)</f>
        <v/>
      </c>
    </row>
    <row r="9" ht="24" customHeight="1">
      <c r="B9" s="18" t="inlineStr">
        <is>
          <t>Honeycomb Per-Layer Calculations</t>
        </is>
      </c>
    </row>
    <row r="10">
      <c r="B10" s="5" t="inlineStr">
        <is>
          <t>Parameter</t>
        </is>
      </c>
      <c r="C10" s="20" t="inlineStr">
        <is>
          <t>Layer 1</t>
        </is>
      </c>
      <c r="D10" s="20" t="inlineStr">
        <is>
          <t>Layer 2</t>
        </is>
      </c>
      <c r="E10" s="20" t="inlineStr">
        <is>
          <t>Layer 3</t>
        </is>
      </c>
      <c r="F10" s="20" t="inlineStr">
        <is>
          <t>Layer 4</t>
        </is>
      </c>
      <c r="G10" s="20" t="inlineStr">
        <is>
          <t>Layer 5</t>
        </is>
      </c>
      <c r="H10" s="20" t="inlineStr">
        <is>
          <t>Layer 6</t>
        </is>
      </c>
    </row>
    <row r="11" ht="16" customHeight="1">
      <c r="B11" s="5" t="inlineStr">
        <is>
          <t>HC_Length (mm)</t>
        </is>
      </c>
      <c r="C11" s="9">
        <f>'HC Geometry'!E5</f>
        <v/>
      </c>
      <c r="D11" s="9">
        <f>'HC Geometry'!E6</f>
        <v/>
      </c>
      <c r="E11" s="9">
        <f>'HC Geometry'!E7</f>
        <v/>
      </c>
      <c r="F11" s="9">
        <f>'HC Geometry'!E8</f>
        <v/>
      </c>
      <c r="G11" s="9">
        <f>'HC Geometry'!E9</f>
        <v/>
      </c>
      <c r="H11" s="9">
        <f>'HC Geometry'!E10</f>
        <v/>
      </c>
    </row>
    <row r="12" ht="16" customHeight="1">
      <c r="B12" s="5" t="inlineStr">
        <is>
          <t>HC_CellsA</t>
        </is>
      </c>
      <c r="C12" s="9">
        <f>'HC Geometry'!F5</f>
        <v/>
      </c>
      <c r="D12" s="9">
        <f>'HC Geometry'!F6</f>
        <v/>
      </c>
      <c r="E12" s="9">
        <f>'HC Geometry'!F7</f>
        <v/>
      </c>
      <c r="F12" s="9">
        <f>'HC Geometry'!F8</f>
        <v/>
      </c>
      <c r="G12" s="9">
        <f>'HC Geometry'!F9</f>
        <v/>
      </c>
      <c r="H12" s="9">
        <f>'HC Geometry'!F10</f>
        <v/>
      </c>
    </row>
    <row r="13" ht="16" customHeight="1">
      <c r="B13" s="5" t="inlineStr">
        <is>
          <t>HC_CellsB</t>
        </is>
      </c>
      <c r="C13" s="9">
        <f>'HC Geometry'!G5</f>
        <v/>
      </c>
      <c r="D13" s="9">
        <f>'HC Geometry'!G6</f>
        <v/>
      </c>
      <c r="E13" s="9">
        <f>'HC Geometry'!G7</f>
        <v/>
      </c>
      <c r="F13" s="9">
        <f>'HC Geometry'!G8</f>
        <v/>
      </c>
      <c r="G13" s="9">
        <f>'HC Geometry'!G9</f>
        <v/>
      </c>
      <c r="H13" s="9">
        <f>'HC Geometry'!G10</f>
        <v/>
      </c>
    </row>
    <row r="14" ht="16" customHeight="1">
      <c r="B14" s="5" t="inlineStr">
        <is>
          <t>HC_WidthA (mm)</t>
        </is>
      </c>
      <c r="C14" s="9">
        <f>'HC Geometry'!H5</f>
        <v/>
      </c>
      <c r="D14" s="9">
        <f>'HC Geometry'!H6</f>
        <v/>
      </c>
      <c r="E14" s="9">
        <f>'HC Geometry'!H7</f>
        <v/>
      </c>
      <c r="F14" s="9">
        <f>'HC Geometry'!H8</f>
        <v/>
      </c>
      <c r="G14" s="9">
        <f>'HC Geometry'!H9</f>
        <v/>
      </c>
      <c r="H14" s="9">
        <f>'HC Geometry'!H10</f>
        <v/>
      </c>
    </row>
    <row r="15" ht="16" customHeight="1">
      <c r="B15" s="5" t="inlineStr">
        <is>
          <t>HC_WidthB (mm)</t>
        </is>
      </c>
      <c r="C15" s="9">
        <f>'HC Geometry'!I5</f>
        <v/>
      </c>
      <c r="D15" s="9">
        <f>'HC Geometry'!I6</f>
        <v/>
      </c>
      <c r="E15" s="9">
        <f>'HC Geometry'!I7</f>
        <v/>
      </c>
      <c r="F15" s="9">
        <f>'HC Geometry'!I8</f>
        <v/>
      </c>
      <c r="G15" s="9">
        <f>'HC Geometry'!I9</f>
        <v/>
      </c>
      <c r="H15" s="9">
        <f>'HC Geometry'!I10</f>
        <v/>
      </c>
    </row>
    <row r="16" ht="16" customHeight="1">
      <c r="B16" s="5" t="inlineStr">
        <is>
          <t>HC_PluggedCells</t>
        </is>
      </c>
      <c r="C16" s="9">
        <f>'HC Geometry'!J5</f>
        <v/>
      </c>
      <c r="D16" s="9">
        <f>'HC Geometry'!J6</f>
        <v/>
      </c>
      <c r="E16" s="9">
        <f>'HC Geometry'!J7</f>
        <v/>
      </c>
      <c r="F16" s="9">
        <f>'HC Geometry'!J8</f>
        <v/>
      </c>
      <c r="G16" s="9">
        <f>'HC Geometry'!J9</f>
        <v/>
      </c>
      <c r="H16" s="9">
        <f>'HC Geometry'!J10</f>
        <v/>
      </c>
    </row>
    <row r="17" ht="16" customHeight="1">
      <c r="B17" s="5" t="inlineStr">
        <is>
          <t>HC_APOverride</t>
        </is>
      </c>
      <c r="C17" s="9">
        <f>'HC Geometry'!D5</f>
        <v/>
      </c>
      <c r="D17" s="9">
        <f>'HC Geometry'!D6</f>
        <v/>
      </c>
      <c r="E17" s="9">
        <f>'HC Geometry'!D7</f>
        <v/>
      </c>
      <c r="F17" s="9">
        <f>'HC Geometry'!D8</f>
        <v/>
      </c>
      <c r="G17" s="9">
        <f>'HC Geometry'!D9</f>
        <v/>
      </c>
      <c r="H17" s="9">
        <f>'HC Geometry'!D10</f>
        <v/>
      </c>
    </row>
    <row r="18" ht="16" customHeight="1">
      <c r="B18" s="5" t="inlineStr">
        <is>
          <t>HC_Layer_Active</t>
        </is>
      </c>
      <c r="C18" s="9">
        <f>AND(C11&gt;0,C12&gt;0,C13&gt;0)</f>
        <v/>
      </c>
      <c r="D18" s="9">
        <f>AND(D11&gt;0,D12&gt;0,D13&gt;0)</f>
        <v/>
      </c>
      <c r="E18" s="9">
        <f>AND(E11&gt;0,E12&gt;0,E13&gt;0)</f>
        <v/>
      </c>
      <c r="F18" s="9">
        <f>AND(F11&gt;0,F12&gt;0,F13&gt;0)</f>
        <v/>
      </c>
      <c r="G18" s="9">
        <f>AND(G11&gt;0,G12&gt;0,G13&gt;0)</f>
        <v/>
      </c>
      <c r="H18" s="9">
        <f>AND(H11&gt;0,H12&gt;0,H13&gt;0)</f>
        <v/>
      </c>
    </row>
    <row r="19" ht="16" customHeight="1">
      <c r="B19" s="5" t="inlineStr">
        <is>
          <t>HC_TotalCells</t>
        </is>
      </c>
      <c r="C19" s="9">
        <f>IF(C18,C12*C13,0)</f>
        <v/>
      </c>
      <c r="D19" s="9">
        <f>IF(D18,D12*D13,0)</f>
        <v/>
      </c>
      <c r="E19" s="9">
        <f>IF(E18,E12*E13,0)</f>
        <v/>
      </c>
      <c r="F19" s="9">
        <f>IF(F18,F12*F13,0)</f>
        <v/>
      </c>
      <c r="G19" s="9">
        <f>IF(G18,G12*G13,0)</f>
        <v/>
      </c>
      <c r="H19" s="9">
        <f>IF(H18,H12*H13,0)</f>
        <v/>
      </c>
    </row>
    <row r="20" ht="16" customHeight="1">
      <c r="B20" s="5" t="inlineStr">
        <is>
          <t>HC_OpenCells</t>
        </is>
      </c>
      <c r="C20" s="9">
        <f>IF(C18,C19-C16,0)</f>
        <v/>
      </c>
      <c r="D20" s="9">
        <f>IF(D18,D19-D16,0)</f>
        <v/>
      </c>
      <c r="E20" s="9">
        <f>IF(E18,E19-E16,0)</f>
        <v/>
      </c>
      <c r="F20" s="9">
        <f>IF(F18,F19-F16,0)</f>
        <v/>
      </c>
      <c r="G20" s="9">
        <f>IF(G18,G19-G16,0)</f>
        <v/>
      </c>
      <c r="H20" s="9">
        <f>IF(H18,H19-H16,0)</f>
        <v/>
      </c>
    </row>
    <row r="21" ht="16" customHeight="1">
      <c r="B21" s="5" t="inlineStr">
        <is>
          <t>HC_Pitch (mm)</t>
        </is>
      </c>
      <c r="C21" s="9">
        <f>IF(C18,C14/C12,0)</f>
        <v/>
      </c>
      <c r="D21" s="9">
        <f>IF(D18,D14/D12,0)</f>
        <v/>
      </c>
      <c r="E21" s="9">
        <f>IF(E18,E14/E12,0)</f>
        <v/>
      </c>
      <c r="F21" s="9">
        <f>IF(F18,F14/F12,0)</f>
        <v/>
      </c>
      <c r="G21" s="9">
        <f>IF(G18,G14/G12,0)</f>
        <v/>
      </c>
      <c r="H21" s="9">
        <f>IF(H18,H14/H12,0)</f>
        <v/>
      </c>
    </row>
    <row r="22" ht="16" customHeight="1">
      <c r="B22" s="5" t="inlineStr">
        <is>
          <t>HC_ChannelWidth (mm)</t>
        </is>
      </c>
      <c r="C22" s="9">
        <f>IF(C18,C21-1,0)</f>
        <v/>
      </c>
      <c r="D22" s="9">
        <f>IF(D18,D21-1,0)</f>
        <v/>
      </c>
      <c r="E22" s="9">
        <f>IF(E18,E21-1,0)</f>
        <v/>
      </c>
      <c r="F22" s="9">
        <f>IF(F18,F21-1,0)</f>
        <v/>
      </c>
      <c r="G22" s="9">
        <f>IF(G18,G21-1,0)</f>
        <v/>
      </c>
      <c r="H22" s="9">
        <f>IF(H18,H21-1,0)</f>
        <v/>
      </c>
    </row>
    <row r="23" ht="16" customHeight="1">
      <c r="B23" s="5" t="inlineStr">
        <is>
          <t>HC_FFA_fraction</t>
        </is>
      </c>
      <c r="C23" s="9">
        <f>IF(AND(C18,C21&gt;0),(C22/C21)^2,0)</f>
        <v/>
      </c>
      <c r="D23" s="9">
        <f>IF(AND(D18,D21&gt;0),(D22/D21)^2,0)</f>
        <v/>
      </c>
      <c r="E23" s="9">
        <f>IF(AND(E18,E21&gt;0),(E22/E21)^2,0)</f>
        <v/>
      </c>
      <c r="F23" s="9">
        <f>IF(AND(F18,F21&gt;0),(F22/F21)^2,0)</f>
        <v/>
      </c>
      <c r="G23" s="9">
        <f>IF(AND(G18,G21&gt;0),(G22/G21)^2,0)</f>
        <v/>
      </c>
      <c r="H23" s="9">
        <f>IF(AND(H18,H21&gt;0),(H22/H21)^2,0)</f>
        <v/>
      </c>
    </row>
    <row r="24" ht="16" customHeight="1">
      <c r="B24" s="5" t="inlineStr">
        <is>
          <t>HC_CrossSection (m²)</t>
        </is>
      </c>
      <c r="C24" s="9">
        <f>IF(C18,(C14/1000)*(C15/1000),0)</f>
        <v/>
      </c>
      <c r="D24" s="9">
        <f>IF(D18,(D14/1000)*(D15/1000),0)</f>
        <v/>
      </c>
      <c r="E24" s="9">
        <f>IF(E18,(E14/1000)*(E15/1000),0)</f>
        <v/>
      </c>
      <c r="F24" s="9">
        <f>IF(F18,(F14/1000)*(F15/1000),0)</f>
        <v/>
      </c>
      <c r="G24" s="9">
        <f>IF(G18,(G14/1000)*(G15/1000),0)</f>
        <v/>
      </c>
      <c r="H24" s="9">
        <f>IF(H18,(H14/1000)*(H15/1000),0)</f>
        <v/>
      </c>
    </row>
    <row r="25" ht="16" customHeight="1">
      <c r="B25" s="5" t="inlineStr">
        <is>
          <t>HC_AdjFFA</t>
        </is>
      </c>
      <c r="C25" s="9">
        <f>IF(AND(C18,C19&gt;0),C23*(C20/C19),0)</f>
        <v/>
      </c>
      <c r="D25" s="9">
        <f>IF(AND(D18,D19&gt;0),D23*(D20/D19),0)</f>
        <v/>
      </c>
      <c r="E25" s="9">
        <f>IF(AND(E18,E19&gt;0),E23*(E20/E19),0)</f>
        <v/>
      </c>
      <c r="F25" s="9">
        <f>IF(AND(F18,F19&gt;0),F23*(F20/F19),0)</f>
        <v/>
      </c>
      <c r="G25" s="9">
        <f>IF(AND(G18,G19&gt;0),G23*(G20/G19),0)</f>
        <v/>
      </c>
      <c r="H25" s="9">
        <f>IF(AND(H18,H19&gt;0),H23*(H20/H19),0)</f>
        <v/>
      </c>
    </row>
    <row r="26" ht="16" customHeight="1">
      <c r="B26" s="5" t="inlineStr">
        <is>
          <t>HC_LayerArea (m²)</t>
        </is>
      </c>
      <c r="C26" s="9">
        <f>IF(C18,C24*C25,0)</f>
        <v/>
      </c>
      <c r="D26" s="9">
        <f>IF(D18,D24*D25,0)</f>
        <v/>
      </c>
      <c r="E26" s="9">
        <f>IF(E18,E24*E25,0)</f>
        <v/>
      </c>
      <c r="F26" s="9">
        <f>IF(F18,F24*F25,0)</f>
        <v/>
      </c>
      <c r="G26" s="9">
        <f>IF(G18,G24*G25,0)</f>
        <v/>
      </c>
      <c r="H26" s="9">
        <f>IF(H18,H24*H25,0)</f>
        <v/>
      </c>
    </row>
    <row r="27" ht="16" customHeight="1">
      <c r="B27" s="5" t="inlineStr">
        <is>
          <t>HC_LayerVolume (m³)</t>
        </is>
      </c>
      <c r="C27" s="9">
        <f>IF(C18,C24*(C11/1000),0)</f>
        <v/>
      </c>
      <c r="D27" s="9">
        <f>IF(D18,D24*(D11/1000),0)</f>
        <v/>
      </c>
      <c r="E27" s="9">
        <f>IF(E18,E24*(E11/1000),0)</f>
        <v/>
      </c>
      <c r="F27" s="9">
        <f>IF(F18,F24*(F11/1000),0)</f>
        <v/>
      </c>
      <c r="G27" s="9">
        <f>IF(G18,G24*(G11/1000),0)</f>
        <v/>
      </c>
      <c r="H27" s="9">
        <f>IF(H18,H24*(H11/1000),0)</f>
        <v/>
      </c>
    </row>
    <row r="28" ht="16" customHeight="1">
      <c r="B28" s="5" t="inlineStr">
        <is>
          <t>HC_LayerSurfaceArea (m²)</t>
        </is>
      </c>
      <c r="C28" s="9">
        <f>IF(AND(C18,C17&gt;0),C17*C27,0)</f>
        <v/>
      </c>
      <c r="D28" s="9">
        <f>IF(AND(D18,D17&gt;0),D17*D27,0)</f>
        <v/>
      </c>
      <c r="E28" s="9">
        <f>IF(AND(E18,E17&gt;0),E17*E27,0)</f>
        <v/>
      </c>
      <c r="F28" s="9">
        <f>IF(AND(F18,F17&gt;0),F17*F27,0)</f>
        <v/>
      </c>
      <c r="G28" s="9">
        <f>IF(AND(G18,G17&gt;0),G17*G27,0)</f>
        <v/>
      </c>
      <c r="H28" s="9">
        <f>IF(AND(H18,H17&gt;0),H17*H27,0)</f>
        <v/>
      </c>
    </row>
    <row r="30" ht="24" customHeight="1">
      <c r="B30" s="18" t="inlineStr">
        <is>
          <t>Honeycomb Rollup</t>
        </is>
      </c>
    </row>
    <row r="31">
      <c r="B31" s="5" t="inlineStr">
        <is>
          <t>HC_ActiveLayers</t>
        </is>
      </c>
      <c r="C31" s="9">
        <f>COUNTIF(C18:H18,TRUE)</f>
        <v/>
      </c>
    </row>
    <row r="32">
      <c r="B32" s="5" t="inlineStr">
        <is>
          <t>HC_AvgAdjFFA (m²)</t>
        </is>
      </c>
      <c r="C32" s="9">
        <f>IF(C31&gt;0,AVERAGEIF(C18:H18,TRUE,C26:H26),0)</f>
        <v/>
      </c>
    </row>
    <row r="33">
      <c r="B33" s="5" t="inlineStr">
        <is>
          <t>HC_TotalAdjArea (m²)</t>
        </is>
      </c>
      <c r="C33" s="9">
        <f>SUMIF(C18:H18,TRUE,C28:H28)</f>
        <v/>
      </c>
    </row>
    <row r="35" ht="24" customHeight="1">
      <c r="B35" s="18" t="inlineStr">
        <is>
          <t>Plate Calculations</t>
        </is>
      </c>
    </row>
    <row r="36" ht="16" customHeight="1">
      <c r="B36" s="5" t="inlineStr">
        <is>
          <t>PL_TotalPlates</t>
        </is>
      </c>
      <c r="C36" s="9">
        <f>'Plate Geometry'!C3</f>
        <v/>
      </c>
    </row>
    <row r="37" ht="16" customHeight="1">
      <c r="B37" s="5" t="inlineStr">
        <is>
          <t>PL_AvgLength (mm)</t>
        </is>
      </c>
      <c r="C37" s="9">
        <f>'Plate Geometry'!D40</f>
        <v/>
      </c>
    </row>
    <row r="38" ht="16" customHeight="1">
      <c r="B38" s="5" t="inlineStr">
        <is>
          <t>PL_AvgThickness (mm)</t>
        </is>
      </c>
      <c r="C38" s="9">
        <f>'Plate Geometry'!D41</f>
        <v/>
      </c>
    </row>
    <row r="39" ht="16" customHeight="1">
      <c r="B39" s="5" t="inlineStr">
        <is>
          <t>PL_AvgWidthA (mm)</t>
        </is>
      </c>
      <c r="C39" s="9">
        <f>'Plate Geometry'!D42</f>
        <v/>
      </c>
    </row>
    <row r="40" ht="16" customHeight="1">
      <c r="B40" s="5" t="inlineStr">
        <is>
          <t>PL_AvgWidthB (mm)</t>
        </is>
      </c>
      <c r="C40" s="9">
        <f>'Plate Geometry'!D43</f>
        <v/>
      </c>
    </row>
    <row r="41" ht="16" customHeight="1">
      <c r="B41" s="5" t="inlineStr">
        <is>
          <t>PL_ActiveLayers</t>
        </is>
      </c>
      <c r="C41" s="9">
        <f>IF(C36&gt;1,C36-1,0)</f>
        <v/>
      </c>
    </row>
    <row r="42" ht="16" customHeight="1">
      <c r="B42" s="5" t="inlineStr">
        <is>
          <t>PL_PlateSpacing (mm)</t>
        </is>
      </c>
      <c r="C42" s="9">
        <f>C38</f>
        <v/>
      </c>
    </row>
    <row r="43" ht="16" customHeight="1">
      <c r="B43" s="5" t="inlineStr">
        <is>
          <t>PL_HydDiam (mm)</t>
        </is>
      </c>
      <c r="C43" s="9">
        <f>2*C42</f>
        <v/>
      </c>
    </row>
    <row r="44" ht="16" customHeight="1">
      <c r="B44" s="5" t="inlineStr">
        <is>
          <t>PL_ChannelHeight (m)</t>
        </is>
      </c>
      <c r="C44" s="9">
        <f>C39/1000</f>
        <v/>
      </c>
    </row>
    <row r="45" ht="16" customHeight="1">
      <c r="B45" s="5" t="inlineStr">
        <is>
          <t>PL_SingleChannelArea (m²)</t>
        </is>
      </c>
      <c r="C45" s="9">
        <f>(C37/1000)*C44</f>
        <v/>
      </c>
    </row>
    <row r="46" ht="16" customHeight="1">
      <c r="B46" s="5" t="inlineStr">
        <is>
          <t>PL_FFA (m²)</t>
        </is>
      </c>
      <c r="C46" s="9">
        <f>C41*(C42/1000)*(C40/1000)</f>
        <v/>
      </c>
    </row>
    <row r="47" ht="16" customHeight="1">
      <c r="B47" s="5" t="inlineStr">
        <is>
          <t>PL_TotalSurfaceArea (m²)</t>
        </is>
      </c>
      <c r="C47" s="9">
        <f>2*C41*C45</f>
        <v/>
      </c>
    </row>
    <row r="49" ht="24" customHeight="1">
      <c r="B49" s="18" t="inlineStr">
        <is>
          <t>Plate Rollup</t>
        </is>
      </c>
    </row>
    <row r="50">
      <c r="B50" s="5" t="inlineStr">
        <is>
          <t>PL_ActiveLayers</t>
        </is>
      </c>
      <c r="C50" s="9">
        <f>C41</f>
        <v/>
      </c>
    </row>
    <row r="51">
      <c r="B51" s="5" t="inlineStr">
        <is>
          <t>PL_AvgAdjFFA (m²)</t>
        </is>
      </c>
      <c r="C51" s="9">
        <f>C46</f>
        <v/>
      </c>
    </row>
    <row r="52">
      <c r="B52" s="5" t="inlineStr">
        <is>
          <t>PL_TotalAdjArea (m²)</t>
        </is>
      </c>
      <c r="C52" s="9">
        <f>C47</f>
        <v/>
      </c>
    </row>
    <row r="54" ht="24" customHeight="1">
      <c r="B54" s="18" t="inlineStr">
        <is>
          <t>Corrugated Per-Layer Calculations</t>
        </is>
      </c>
    </row>
    <row r="55">
      <c r="B55" s="5" t="inlineStr">
        <is>
          <t>Parameter</t>
        </is>
      </c>
      <c r="C55" s="20" t="inlineStr">
        <is>
          <t>Layer 1</t>
        </is>
      </c>
      <c r="D55" s="20" t="inlineStr">
        <is>
          <t>Layer 2</t>
        </is>
      </c>
      <c r="E55" s="20" t="inlineStr">
        <is>
          <t>Layer 3</t>
        </is>
      </c>
      <c r="F55" s="20" t="inlineStr">
        <is>
          <t>Layer 4</t>
        </is>
      </c>
      <c r="G55" s="20" t="inlineStr">
        <is>
          <t>Layer 5</t>
        </is>
      </c>
      <c r="H55" s="20" t="inlineStr">
        <is>
          <t>Layer 6</t>
        </is>
      </c>
    </row>
    <row r="56" ht="16" customHeight="1">
      <c r="B56" s="5" t="inlineStr">
        <is>
          <t>CR_SSA (m²/m³)</t>
        </is>
      </c>
      <c r="C56" s="9">
        <f>'Corrugated Geometry'!C4</f>
        <v/>
      </c>
      <c r="D56" s="9">
        <f>'Corrugated Geometry'!C5</f>
        <v/>
      </c>
      <c r="E56" s="9">
        <f>'Corrugated Geometry'!C6</f>
        <v/>
      </c>
      <c r="F56" s="9">
        <f>'Corrugated Geometry'!C7</f>
        <v/>
      </c>
      <c r="G56" s="9">
        <f>'Corrugated Geometry'!C8</f>
        <v/>
      </c>
      <c r="H56" s="9">
        <f>'Corrugated Geometry'!C9</f>
        <v/>
      </c>
    </row>
    <row r="57" ht="16" customHeight="1">
      <c r="B57" s="5" t="inlineStr">
        <is>
          <t>CR_Length (mm)</t>
        </is>
      </c>
      <c r="C57" s="9">
        <f>'Corrugated Geometry'!D4</f>
        <v/>
      </c>
      <c r="D57" s="9">
        <f>'Corrugated Geometry'!D5</f>
        <v/>
      </c>
      <c r="E57" s="9">
        <f>'Corrugated Geometry'!D6</f>
        <v/>
      </c>
      <c r="F57" s="9">
        <f>'Corrugated Geometry'!D7</f>
        <v/>
      </c>
      <c r="G57" s="9">
        <f>'Corrugated Geometry'!D8</f>
        <v/>
      </c>
      <c r="H57" s="9">
        <f>'Corrugated Geometry'!D9</f>
        <v/>
      </c>
    </row>
    <row r="58" ht="16" customHeight="1">
      <c r="B58" s="5" t="inlineStr">
        <is>
          <t>CR_Width (mm)</t>
        </is>
      </c>
      <c r="C58" s="9">
        <f>'Corrugated Geometry'!E4</f>
        <v/>
      </c>
      <c r="D58" s="9">
        <f>'Corrugated Geometry'!E5</f>
        <v/>
      </c>
      <c r="E58" s="9">
        <f>'Corrugated Geometry'!E6</f>
        <v/>
      </c>
      <c r="F58" s="9">
        <f>'Corrugated Geometry'!E7</f>
        <v/>
      </c>
      <c r="G58" s="9">
        <f>'Corrugated Geometry'!E8</f>
        <v/>
      </c>
      <c r="H58" s="9">
        <f>'Corrugated Geometry'!E9</f>
        <v/>
      </c>
    </row>
    <row r="59" ht="16" customHeight="1">
      <c r="B59" s="5" t="inlineStr">
        <is>
          <t>CR_Height (mm)</t>
        </is>
      </c>
      <c r="C59" s="9">
        <f>'Corrugated Geometry'!F4</f>
        <v/>
      </c>
      <c r="D59" s="9">
        <f>'Corrugated Geometry'!F5</f>
        <v/>
      </c>
      <c r="E59" s="9">
        <f>'Corrugated Geometry'!F6</f>
        <v/>
      </c>
      <c r="F59" s="9">
        <f>'Corrugated Geometry'!F7</f>
        <v/>
      </c>
      <c r="G59" s="9">
        <f>'Corrugated Geometry'!F8</f>
        <v/>
      </c>
      <c r="H59" s="9">
        <f>'Corrugated Geometry'!F9</f>
        <v/>
      </c>
    </row>
    <row r="60" ht="16" customHeight="1">
      <c r="B60" s="5" t="inlineStr">
        <is>
          <t>CR_TotalCells</t>
        </is>
      </c>
      <c r="C60" s="9">
        <f>'Corrugated Geometry'!G4</f>
        <v/>
      </c>
      <c r="D60" s="9">
        <f>'Corrugated Geometry'!G5</f>
        <v/>
      </c>
      <c r="E60" s="9">
        <f>'Corrugated Geometry'!G6</f>
        <v/>
      </c>
      <c r="F60" s="9">
        <f>'Corrugated Geometry'!G7</f>
        <v/>
      </c>
      <c r="G60" s="9">
        <f>'Corrugated Geometry'!G8</f>
        <v/>
      </c>
      <c r="H60" s="9">
        <f>'Corrugated Geometry'!G9</f>
        <v/>
      </c>
    </row>
    <row r="61" ht="16" customHeight="1">
      <c r="B61" s="5" t="inlineStr">
        <is>
          <t>CR_PluggedCells</t>
        </is>
      </c>
      <c r="C61" s="9">
        <f>'Corrugated Geometry'!H4</f>
        <v/>
      </c>
      <c r="D61" s="9">
        <f>'Corrugated Geometry'!H5</f>
        <v/>
      </c>
      <c r="E61" s="9">
        <f>'Corrugated Geometry'!H6</f>
        <v/>
      </c>
      <c r="F61" s="9">
        <f>'Corrugated Geometry'!H7</f>
        <v/>
      </c>
      <c r="G61" s="9">
        <f>'Corrugated Geometry'!H8</f>
        <v/>
      </c>
      <c r="H61" s="9">
        <f>'Corrugated Geometry'!H9</f>
        <v/>
      </c>
    </row>
    <row r="62" ht="16" customHeight="1">
      <c r="B62" s="5" t="inlineStr">
        <is>
          <t>CR_Layer_Active</t>
        </is>
      </c>
      <c r="C62" s="9">
        <f>AND(C57&gt;0,C58&gt;0,C59&gt;0)</f>
        <v/>
      </c>
      <c r="D62" s="9">
        <f>AND(D57&gt;0,D58&gt;0,D59&gt;0)</f>
        <v/>
      </c>
      <c r="E62" s="9">
        <f>AND(E57&gt;0,E58&gt;0,E59&gt;0)</f>
        <v/>
      </c>
      <c r="F62" s="9">
        <f>AND(F57&gt;0,F58&gt;0,F59&gt;0)</f>
        <v/>
      </c>
      <c r="G62" s="9">
        <f>AND(G57&gt;0,G58&gt;0,G59&gt;0)</f>
        <v/>
      </c>
      <c r="H62" s="9">
        <f>AND(H57&gt;0,H58&gt;0,H59&gt;0)</f>
        <v/>
      </c>
    </row>
    <row r="63" ht="16" customHeight="1">
      <c r="B63" s="5" t="inlineStr">
        <is>
          <t>CR_OpenCells</t>
        </is>
      </c>
      <c r="C63" s="9">
        <f>IF(C62,C60-C61,0)</f>
        <v/>
      </c>
      <c r="D63" s="9">
        <f>IF(D62,D60-D61,0)</f>
        <v/>
      </c>
      <c r="E63" s="9">
        <f>IF(E62,E60-E61,0)</f>
        <v/>
      </c>
      <c r="F63" s="9">
        <f>IF(F62,F60-F61,0)</f>
        <v/>
      </c>
      <c r="G63" s="9">
        <f>IF(G62,G60-G61,0)</f>
        <v/>
      </c>
      <c r="H63" s="9">
        <f>IF(H62,H60-H61,0)</f>
        <v/>
      </c>
    </row>
    <row r="64" ht="16" customHeight="1">
      <c r="B64" s="5" t="inlineStr">
        <is>
          <t>CR_OpenFraction</t>
        </is>
      </c>
      <c r="C64" s="9">
        <f>IF(AND(C62,C60&gt;0),C63/C60,0)</f>
        <v/>
      </c>
      <c r="D64" s="9">
        <f>IF(AND(D62,D60&gt;0),D63/D60,0)</f>
        <v/>
      </c>
      <c r="E64" s="9">
        <f>IF(AND(E62,E60&gt;0),E63/E60,0)</f>
        <v/>
      </c>
      <c r="F64" s="9">
        <f>IF(AND(F62,F60&gt;0),F63/F60,0)</f>
        <v/>
      </c>
      <c r="G64" s="9">
        <f>IF(AND(G62,G60&gt;0),G63/G60,0)</f>
        <v/>
      </c>
      <c r="H64" s="9">
        <f>IF(AND(H62,H60&gt;0),H63/H60,0)</f>
        <v/>
      </c>
    </row>
    <row r="65" ht="16" customHeight="1">
      <c r="B65" s="5" t="inlineStr">
        <is>
          <t>CR_LayerVolume (m³)</t>
        </is>
      </c>
      <c r="C65" s="9">
        <f>IF(C62,(C57/1000)*(C58/1000)*(C59/1000),0)</f>
        <v/>
      </c>
      <c r="D65" s="9">
        <f>IF(D62,(D57/1000)*(D58/1000)*(D59/1000),0)</f>
        <v/>
      </c>
      <c r="E65" s="9">
        <f>IF(E62,(E57/1000)*(E58/1000)*(E59/1000),0)</f>
        <v/>
      </c>
      <c r="F65" s="9">
        <f>IF(F62,(F57/1000)*(F58/1000)*(F59/1000),0)</f>
        <v/>
      </c>
      <c r="G65" s="9">
        <f>IF(G62,(G57/1000)*(G58/1000)*(G59/1000),0)</f>
        <v/>
      </c>
      <c r="H65" s="9">
        <f>IF(H62,(H57/1000)*(H58/1000)*(H59/1000),0)</f>
        <v/>
      </c>
    </row>
    <row r="66" ht="16" customHeight="1">
      <c r="B66" s="5" t="inlineStr">
        <is>
          <t>CR_LayerSurfArea (m²)</t>
        </is>
      </c>
      <c r="C66" s="9">
        <f>IF(C62,C56*C65*C64,0)</f>
        <v/>
      </c>
      <c r="D66" s="9">
        <f>IF(D62,D56*D65*D64,0)</f>
        <v/>
      </c>
      <c r="E66" s="9">
        <f>IF(E62,E56*E65*E64,0)</f>
        <v/>
      </c>
      <c r="F66" s="9">
        <f>IF(F62,F56*F65*F64,0)</f>
        <v/>
      </c>
      <c r="G66" s="9">
        <f>IF(G62,G56*G65*G64,0)</f>
        <v/>
      </c>
      <c r="H66" s="9">
        <f>IF(H62,H56*H65*H64,0)</f>
        <v/>
      </c>
    </row>
    <row r="67" ht="16" customHeight="1">
      <c r="B67" s="5" t="inlineStr">
        <is>
          <t>CR_CrossSection (m²)</t>
        </is>
      </c>
      <c r="C67" s="9">
        <f>IF(C62,(C58/1000)*(C59/1000),0)</f>
        <v/>
      </c>
      <c r="D67" s="9">
        <f>IF(D62,(D58/1000)*(D59/1000),0)</f>
        <v/>
      </c>
      <c r="E67" s="9">
        <f>IF(E62,(E58/1000)*(E59/1000),0)</f>
        <v/>
      </c>
      <c r="F67" s="9">
        <f>IF(F62,(F58/1000)*(F59/1000),0)</f>
        <v/>
      </c>
      <c r="G67" s="9">
        <f>IF(G62,(G58/1000)*(G59/1000),0)</f>
        <v/>
      </c>
      <c r="H67" s="9">
        <f>IF(H62,(H58/1000)*(H59/1000),0)</f>
        <v/>
      </c>
    </row>
    <row r="68" ht="16" customHeight="1">
      <c r="B68" s="5" t="inlineStr">
        <is>
          <t>CR_LayerFFA (m²)</t>
        </is>
      </c>
      <c r="C68" s="9">
        <f>IF(C62,C67*C64,0)</f>
        <v/>
      </c>
      <c r="D68" s="9">
        <f>IF(D62,D67*D64,0)</f>
        <v/>
      </c>
      <c r="E68" s="9">
        <f>IF(E62,E67*E64,0)</f>
        <v/>
      </c>
      <c r="F68" s="9">
        <f>IF(F62,F67*F64,0)</f>
        <v/>
      </c>
      <c r="G68" s="9">
        <f>IF(G62,G67*G64,0)</f>
        <v/>
      </c>
      <c r="H68" s="9">
        <f>IF(H62,H67*H64,0)</f>
        <v/>
      </c>
    </row>
    <row r="70" ht="24" customHeight="1">
      <c r="B70" s="18" t="inlineStr">
        <is>
          <t>Corrugated Rollup</t>
        </is>
      </c>
    </row>
    <row r="71">
      <c r="B71" s="5" t="inlineStr">
        <is>
          <t>CR_ActiveLayers</t>
        </is>
      </c>
      <c r="C71" s="9">
        <f>COUNTIF(C62:H62,TRUE)</f>
        <v/>
      </c>
    </row>
    <row r="72">
      <c r="B72" s="5" t="inlineStr">
        <is>
          <t>CR_AvgAdjFFA (m²)</t>
        </is>
      </c>
      <c r="C72" s="9">
        <f>IF(C71&gt;0,AVERAGEIF(C62:H62,TRUE,C68:H68),0)</f>
        <v/>
      </c>
    </row>
    <row r="73">
      <c r="B73" s="5" t="inlineStr">
        <is>
          <t>CR_TotalAdjArea (m²)</t>
        </is>
      </c>
      <c r="C73" s="9">
        <f>SUMIF(C62:H62,TRUE,C66:H66)</f>
        <v/>
      </c>
    </row>
    <row r="74">
      <c r="B74" s="5" t="inlineStr">
        <is>
          <t>CR_ActiveVolume (m³)</t>
        </is>
      </c>
      <c r="C74" s="9">
        <f>SUMIF(C62:H62,TRUE,C65:H65)</f>
        <v/>
      </c>
    </row>
    <row r="76" ht="24" customHeight="1">
      <c r="B76" s="18" t="inlineStr">
        <is>
          <t>Unified Geometry Outputs</t>
        </is>
      </c>
    </row>
    <row r="77">
      <c r="B77" s="5" t="inlineStr">
        <is>
          <t>Unified_ActiveLayers</t>
        </is>
      </c>
      <c r="C77" s="9">
        <f>IF(C5,C31,IF(C6,C50,IF(C7,C71,0)))</f>
        <v/>
      </c>
    </row>
    <row r="78">
      <c r="B78" s="5" t="inlineStr">
        <is>
          <t>Unified_AvgAdjFFA (m²)</t>
        </is>
      </c>
      <c r="C78" s="9">
        <f>IF(C5,C32,IF(C6,C51,IF(C7,C72,0)))</f>
        <v/>
      </c>
    </row>
    <row r="79">
      <c r="B79" s="5" t="inlineStr">
        <is>
          <t>Unified_TotalAdjArea (m²)</t>
        </is>
      </c>
      <c r="C79" s="9">
        <f>IF(C5,C33,IF(C6,C52,IF(C7,C73,0)))</f>
        <v/>
      </c>
    </row>
    <row r="81" ht="24" customHeight="1">
      <c r="B81" s="18" t="inlineStr">
        <is>
          <t>Flow Calculations</t>
        </is>
      </c>
    </row>
    <row r="82">
      <c r="B82" s="5" t="inlineStr">
        <is>
          <t>Parameter</t>
        </is>
      </c>
      <c r="C82" s="20" t="inlineStr">
        <is>
          <t>Activity</t>
        </is>
      </c>
      <c r="D82" s="20" t="inlineStr">
        <is>
          <t>Conversion</t>
        </is>
      </c>
    </row>
    <row r="83" ht="16" customHeight="1">
      <c r="B83" s="5" t="inlineStr">
        <is>
          <t>Input AV</t>
        </is>
      </c>
      <c r="C83" s="9">
        <f>'Home'!C15</f>
        <v/>
      </c>
      <c r="D83" s="9">
        <f>'Home'!D15</f>
        <v/>
      </c>
    </row>
    <row r="84" ht="16" customHeight="1">
      <c r="B84" s="5" t="inlineStr">
        <is>
          <t>Input UGS</t>
        </is>
      </c>
      <c r="C84" s="9">
        <f>'Home'!C16</f>
        <v/>
      </c>
      <c r="D84" s="9">
        <f>'Home'!D16</f>
        <v/>
      </c>
    </row>
    <row r="85" ht="16" customHeight="1">
      <c r="B85" s="5" t="inlineStr">
        <is>
          <t>Has AV</t>
        </is>
      </c>
      <c r="C85" s="9">
        <f>C83&lt;&gt;""</f>
        <v/>
      </c>
      <c r="D85" s="9">
        <f>D83&lt;&gt;""</f>
        <v/>
      </c>
    </row>
    <row r="86" ht="16" customHeight="1">
      <c r="B86" s="5" t="inlineStr">
        <is>
          <t>Has UGS</t>
        </is>
      </c>
      <c r="C86" s="9">
        <f>C84&lt;&gt;""</f>
        <v/>
      </c>
      <c r="D86" s="9">
        <f>D84&lt;&gt;""</f>
        <v/>
      </c>
    </row>
    <row r="87" ht="16" customHeight="1">
      <c r="B87" s="5" t="inlineStr">
        <is>
          <t>Both Given</t>
        </is>
      </c>
      <c r="C87" s="9">
        <f>AND(C85,C86)</f>
        <v/>
      </c>
      <c r="D87" s="9">
        <f>AND(D85,D86)</f>
        <v/>
      </c>
    </row>
    <row r="88" ht="16" customHeight="1">
      <c r="B88" s="5" t="inlineStr">
        <is>
          <t>Neither Given</t>
        </is>
      </c>
      <c r="C88" s="9">
        <f>AND(NOT(C85),NOT(C86))</f>
        <v/>
      </c>
      <c r="D88" s="9">
        <f>AND(NOT(D85),NOT(D86))</f>
        <v/>
      </c>
    </row>
    <row r="89" ht="16" customHeight="1">
      <c r="B89" s="5" t="inlineStr">
        <is>
          <t>Flow_from_AV (Nm³/h)</t>
        </is>
      </c>
      <c r="C89" s="9">
        <f>IF(C85,C83*C79,"")</f>
        <v/>
      </c>
      <c r="D89" s="9">
        <f>IF(D85,D83*C79,"")</f>
        <v/>
      </c>
    </row>
    <row r="90" ht="16" customHeight="1">
      <c r="B90" s="5" t="inlineStr">
        <is>
          <t>Flow_from_UGS (Nm³/h)</t>
        </is>
      </c>
      <c r="C90" s="9">
        <f>IF(C86,C84*C78*3600,"")</f>
        <v/>
      </c>
      <c r="D90" s="9">
        <f>IF(D86,D84*C78*3600,"")</f>
        <v/>
      </c>
    </row>
    <row r="91" ht="16" customHeight="1">
      <c r="B91" s="5" t="inlineStr">
        <is>
          <t>Resolved_Flow (Nm³/h)</t>
        </is>
      </c>
      <c r="C91" s="9">
        <f>IF(C88,"",IF(C85,C89,C90))</f>
        <v/>
      </c>
      <c r="D91" s="9">
        <f>IF(D88,"",IF(D85,D89,D90))</f>
        <v/>
      </c>
    </row>
    <row r="92" ht="16" customHeight="1">
      <c r="B92" s="5" t="inlineStr">
        <is>
          <t>Resolved_AV</t>
        </is>
      </c>
      <c r="C92" s="9">
        <f>IF(C88,"",IF(C85,C83,IF(AND(C86,C79&gt;0),C91/C79,"")))</f>
        <v/>
      </c>
      <c r="D92" s="9">
        <f>IF(D88,"",IF(D85,D83,IF(AND(D86,C79&gt;0),D91/C79,"")))</f>
        <v/>
      </c>
    </row>
    <row r="93" ht="16" customHeight="1">
      <c r="B93" s="5" t="inlineStr">
        <is>
          <t>Resolved_UGS</t>
        </is>
      </c>
      <c r="C93" s="9">
        <f>IF(C88,"",IF(C86,C84,IF(AND(C85,C78&gt;0),C91/C78/3600,"")))</f>
        <v/>
      </c>
      <c r="D93" s="9">
        <f>IF(D88,"",IF(D86,D84,IF(AND(D85,C78&gt;0),D91/C78/3600,"")))</f>
        <v/>
      </c>
    </row>
    <row r="94" ht="16" customHeight="1">
      <c r="B94" s="5" t="inlineStr">
        <is>
          <t>Resolved_Flow_scfm</t>
        </is>
      </c>
      <c r="C94" s="9">
        <f>IF(C91&lt;&gt;"",C91*Nm3_to_scfm_Factor,"")</f>
        <v/>
      </c>
      <c r="D94" s="9">
        <f>IF(D91&lt;&gt;"",D91*Nm3_to_scfm_Factor,"")</f>
        <v/>
      </c>
    </row>
    <row r="95" ht="16" customHeight="1">
      <c r="B95" s="5" t="inlineStr">
        <is>
          <t>Flow_Status</t>
        </is>
      </c>
      <c r="C95" s="9">
        <f>IF(C88,"Awaiting input",IF(C87,"AV (both given)",IF(C85,"AV → Flow","UGS → Flow")))</f>
        <v/>
      </c>
      <c r="D95" s="9">
        <f>IF(D88,"Awaiting input",IF(D87,"AV (both given)",IF(D85,"AV → Flow","UGS → Flow")))</f>
        <v/>
      </c>
    </row>
    <row r="97" ht="24" customHeight="1">
      <c r="B97" s="18" t="inlineStr">
        <is>
          <t>Injection Rate Calculations</t>
        </is>
      </c>
    </row>
    <row r="98">
      <c r="B98" s="5" t="inlineStr">
        <is>
          <t>Parameter</t>
        </is>
      </c>
      <c r="C98" s="20" t="inlineStr">
        <is>
          <t>Activity</t>
        </is>
      </c>
      <c r="D98" s="20" t="inlineStr">
        <is>
          <t>Conversion</t>
        </is>
      </c>
    </row>
    <row r="99" ht="16" customHeight="1">
      <c r="B99" s="5" t="inlineStr">
        <is>
          <t>Target SO₃ (ppmvd)</t>
        </is>
      </c>
      <c r="C99" s="9">
        <f>'Home'!C21</f>
        <v/>
      </c>
      <c r="D99" s="9">
        <f>'Home'!D21</f>
        <v/>
      </c>
    </row>
    <row r="100" ht="16" customHeight="1">
      <c r="B100" s="5" t="inlineStr">
        <is>
          <t>Target SO₂ (ppmvd)</t>
        </is>
      </c>
      <c r="C100" s="9">
        <f>'Home'!C20</f>
        <v/>
      </c>
      <c r="D100" s="9">
        <f>'Home'!D20</f>
        <v/>
      </c>
    </row>
    <row r="101" ht="16" customHeight="1">
      <c r="B101" s="5" t="inlineStr">
        <is>
          <t>Target NOx (ppmvd)</t>
        </is>
      </c>
      <c r="C101" s="9">
        <f>'Home'!C22</f>
        <v/>
      </c>
      <c r="D101" s="9">
        <f>'Home'!D22</f>
        <v/>
      </c>
    </row>
    <row r="102" ht="16" customHeight="1">
      <c r="B102" s="5" t="inlineStr">
        <is>
          <t>Target MR</t>
        </is>
      </c>
      <c r="C102" s="9">
        <f>'Home'!C23</f>
        <v/>
      </c>
      <c r="D102" s="9">
        <f>'Home'!D23</f>
        <v/>
      </c>
    </row>
    <row r="103" ht="16" customHeight="1">
      <c r="B103" s="5" t="inlineStr">
        <is>
          <t>Derived NH₃ (ppmvd)</t>
        </is>
      </c>
      <c r="C103" s="9">
        <f>IF(AND(C102&lt;&gt;"",C101&lt;&gt;""),C102*C101,"")</f>
        <v/>
      </c>
      <c r="D103" s="9">
        <f>IF(AND(D102&lt;&gt;"",D101&lt;&gt;""),D102*D101,"")</f>
        <v/>
      </c>
    </row>
    <row r="104" ht="16" customHeight="1">
      <c r="B104" s="5" t="inlineStr">
        <is>
          <t>SO₃ Inj (mL/min)</t>
        </is>
      </c>
      <c r="C104" s="9">
        <f>IF(AND(C99&lt;&gt;"",C91&lt;&gt;""),C99*C91/60,"")</f>
        <v/>
      </c>
      <c r="D104" s="9">
        <f>IF(AND(D99&lt;&gt;"",D91&lt;&gt;""),D99*D91/60,"")</f>
        <v/>
      </c>
    </row>
    <row r="105" ht="16" customHeight="1">
      <c r="B105" s="5" t="inlineStr">
        <is>
          <t>NH₃ Inj (mL/min)</t>
        </is>
      </c>
      <c r="C105" s="9">
        <f>IF(AND(C103&lt;&gt;"",C91&lt;&gt;""),C103*C91/60,"")</f>
        <v/>
      </c>
      <c r="D105" s="9">
        <f>IF(AND(D103&lt;&gt;"",D91&lt;&gt;""),D103*D91/60,"")</f>
        <v/>
      </c>
    </row>
    <row r="106" ht="16" customHeight="1">
      <c r="B106" s="5" t="inlineStr">
        <is>
          <t>SO₂ Inj (mL/min)</t>
        </is>
      </c>
      <c r="C106" s="9">
        <f>IF(AND(C100&lt;&gt;"",C91&lt;&gt;""),C100*C91/60,"")</f>
        <v/>
      </c>
      <c r="D106" s="9">
        <f>IF(AND(D100&lt;&gt;"",D91&lt;&gt;""),D100*D91/60,"")</f>
        <v/>
      </c>
    </row>
    <row r="108" ht="24" customHeight="1">
      <c r="B108" s="18" t="inlineStr">
        <is>
          <t>Shared Resolved Outputs (GC_ Named Ranges)</t>
        </is>
      </c>
    </row>
    <row r="109" ht="16" customHeight="1">
      <c r="B109" s="5" t="inlineStr">
        <is>
          <t>GC_AvgAdjFFA</t>
        </is>
      </c>
      <c r="C109" s="9">
        <f>C78</f>
        <v/>
      </c>
    </row>
    <row r="110" ht="16" customHeight="1">
      <c r="B110" s="5" t="inlineStr">
        <is>
          <t>GC_TotalAdjArea</t>
        </is>
      </c>
      <c r="C110" s="9">
        <f>C79</f>
        <v/>
      </c>
    </row>
    <row r="111" ht="16" customHeight="1">
      <c r="B111" s="5" t="inlineStr">
        <is>
          <t>GC_ActiveLayers</t>
        </is>
      </c>
      <c r="C111" s="9">
        <f>C77</f>
        <v/>
      </c>
    </row>
    <row r="112" ht="16" customHeight="1">
      <c r="B112" s="5" t="inlineStr">
        <is>
          <t>GC_Flow_Act_Nm3h</t>
        </is>
      </c>
      <c r="C112" s="9">
        <f>C91</f>
        <v/>
      </c>
    </row>
    <row r="113" ht="16" customHeight="1">
      <c r="B113" s="5" t="inlineStr">
        <is>
          <t>GC_Flow_Conv_Nm3h</t>
        </is>
      </c>
      <c r="C113" s="9">
        <f>D91</f>
        <v/>
      </c>
    </row>
    <row r="114" ht="16" customHeight="1">
      <c r="B114" s="5" t="inlineStr">
        <is>
          <t>GC_Flow_Act_scfm</t>
        </is>
      </c>
      <c r="C114" s="9">
        <f>C94</f>
        <v/>
      </c>
    </row>
    <row r="115" ht="16" customHeight="1">
      <c r="B115" s="5" t="inlineStr">
        <is>
          <t>GC_Flow_Conv_scfm</t>
        </is>
      </c>
      <c r="C115" s="9">
        <f>D94</f>
        <v/>
      </c>
    </row>
    <row r="116" ht="16" customHeight="1">
      <c r="B116" s="5" t="inlineStr">
        <is>
          <t>GC_AV_Act</t>
        </is>
      </c>
      <c r="C116" s="9">
        <f>C92</f>
        <v/>
      </c>
    </row>
    <row r="117" ht="16" customHeight="1">
      <c r="B117" s="5" t="inlineStr">
        <is>
          <t>GC_AV_Conv</t>
        </is>
      </c>
      <c r="C117" s="9">
        <f>D92</f>
        <v/>
      </c>
    </row>
    <row r="118" ht="16" customHeight="1">
      <c r="B118" s="5" t="inlineStr">
        <is>
          <t>GC_Flow_Act_Status</t>
        </is>
      </c>
      <c r="C118" s="9">
        <f>C95</f>
        <v/>
      </c>
    </row>
    <row r="119" ht="16" customHeight="1">
      <c r="B119" s="5" t="inlineStr">
        <is>
          <t>GC_Flow_Conv_Status</t>
        </is>
      </c>
      <c r="C119" s="9">
        <f>D95</f>
        <v/>
      </c>
    </row>
    <row r="120" ht="16" customHeight="1">
      <c r="B120" s="5" t="inlineStr">
        <is>
          <t>GC_SO3_Inj_Act</t>
        </is>
      </c>
      <c r="C120" s="9">
        <f>C104</f>
        <v/>
      </c>
    </row>
    <row r="121" ht="16" customHeight="1">
      <c r="B121" s="5" t="inlineStr">
        <is>
          <t>GC_SO3_Inj_Conv</t>
        </is>
      </c>
      <c r="C121" s="9">
        <f>D104</f>
        <v/>
      </c>
    </row>
    <row r="122" ht="16" customHeight="1">
      <c r="B122" s="5" t="inlineStr">
        <is>
          <t>GC_NH3_Inj_Act</t>
        </is>
      </c>
      <c r="C122" s="9">
        <f>C105</f>
        <v/>
      </c>
    </row>
    <row r="123" ht="16" customHeight="1">
      <c r="B123" s="5" t="inlineStr">
        <is>
          <t>GC_NH3_Inj_Conv</t>
        </is>
      </c>
      <c r="C123" s="9">
        <f>D105</f>
        <v/>
      </c>
    </row>
    <row r="124" ht="16" customHeight="1">
      <c r="B124" s="5" t="inlineStr">
        <is>
          <t>GC_SO2_Inj_Act</t>
        </is>
      </c>
      <c r="C124" s="9">
        <f>C106</f>
        <v/>
      </c>
    </row>
    <row r="125" ht="16" customHeight="1">
      <c r="B125" s="5" t="inlineStr">
        <is>
          <t>GC_SO2_Inj_Conv</t>
        </is>
      </c>
      <c r="C125" s="9">
        <f>D106</f>
        <v/>
      </c>
    </row>
  </sheetData>
  <mergeCells count="2">
    <mergeCell ref="B1:H1"/>
    <mergeCell ref="B3:H3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B1:C13"/>
  <sheetViews>
    <sheetView workbookViewId="0">
      <selection activeCell="A1" sqref="A1"/>
    </sheetView>
  </sheetViews>
  <sheetFormatPr baseColWidth="8" defaultRowHeight="15"/>
  <cols>
    <col width="3" customWidth="1" min="1" max="1"/>
    <col width="35" customWidth="1" min="2" max="2"/>
    <col width="30" customWidth="1" min="3" max="3"/>
    <col width="3" customWidth="1" min="4" max="4"/>
  </cols>
  <sheetData>
    <row r="1" ht="24" customHeight="1">
      <c r="B1" s="1" t="inlineStr">
        <is>
          <t>Workbook Control</t>
        </is>
      </c>
      <c r="C1" s="2" t="n"/>
    </row>
    <row r="3" ht="16" customHeight="1">
      <c r="B3" s="5" t="inlineStr">
        <is>
          <t>Ctrl_TestID</t>
        </is>
      </c>
      <c r="C3" s="9" t="inlineStr"/>
    </row>
    <row r="4" ht="16" customHeight="1">
      <c r="B4" s="5" t="inlineStr">
        <is>
          <t>Ctrl_WorkbookState</t>
        </is>
      </c>
      <c r="C4" s="9" t="inlineStr">
        <is>
          <t>Setup</t>
        </is>
      </c>
    </row>
    <row r="5" ht="16" customHeight="1">
      <c r="B5" s="5" t="inlineStr">
        <is>
          <t>Ctrl_ActiveGeometryType</t>
        </is>
      </c>
      <c r="C5" s="9" t="inlineStr"/>
    </row>
    <row r="6" ht="16" customHeight="1">
      <c r="B6" s="5" t="inlineStr">
        <is>
          <t>Ctrl_TestStartTimestamp</t>
        </is>
      </c>
      <c r="C6" s="9" t="inlineStr"/>
    </row>
    <row r="7" ht="16" customHeight="1">
      <c r="B7" s="5" t="inlineStr">
        <is>
          <t>Ctrl_SetupEnteredBy</t>
        </is>
      </c>
      <c r="C7" s="9" t="inlineStr"/>
    </row>
    <row r="8" ht="16" customHeight="1">
      <c r="B8" s="5" t="inlineStr">
        <is>
          <t>Ctrl_SetupEnteredAt</t>
        </is>
      </c>
      <c r="C8" s="9" t="inlineStr"/>
    </row>
    <row r="9" ht="16" customHeight="1">
      <c r="B9" s="5" t="inlineStr">
        <is>
          <t>Ctrl_Verified1By</t>
        </is>
      </c>
      <c r="C9" s="9" t="inlineStr"/>
    </row>
    <row r="10" ht="16" customHeight="1">
      <c r="B10" s="5" t="inlineStr">
        <is>
          <t>Ctrl_Verified1At</t>
        </is>
      </c>
      <c r="C10" s="9" t="inlineStr"/>
    </row>
    <row r="11" ht="16" customHeight="1">
      <c r="B11" s="5" t="inlineStr">
        <is>
          <t>Ctrl_Verified2By</t>
        </is>
      </c>
      <c r="C11" s="9" t="inlineStr"/>
    </row>
    <row r="12" ht="16" customHeight="1">
      <c r="B12" s="5" t="inlineStr">
        <is>
          <t>Ctrl_Verified2At</t>
        </is>
      </c>
      <c r="C12" s="9" t="inlineStr"/>
    </row>
    <row r="13" ht="16" customHeight="1">
      <c r="B13" s="5" t="inlineStr">
        <is>
          <t>Ctrl_SetupSignoffComplete</t>
        </is>
      </c>
      <c r="C13" s="9" t="inlineStr">
        <is>
          <t>FALSE</t>
        </is>
      </c>
    </row>
  </sheetData>
  <mergeCells count="1">
    <mergeCell ref="B1:C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B1:F8"/>
  <sheetViews>
    <sheetView workbookViewId="0">
      <selection activeCell="A1" sqref="A1"/>
    </sheetView>
  </sheetViews>
  <sheetFormatPr baseColWidth="8" defaultRowHeight="15"/>
  <cols>
    <col width="3" customWidth="1" min="1" max="1"/>
    <col width="20" customWidth="1" min="2" max="2"/>
    <col width="14" customWidth="1" min="3" max="3"/>
    <col width="14" customWidth="1" min="4" max="4"/>
    <col width="14" customWidth="1" min="5" max="5"/>
    <col width="14" customWidth="1" min="6" max="6"/>
  </cols>
  <sheetData>
    <row r="1" ht="24" customHeight="1">
      <c r="B1" s="1" t="inlineStr">
        <is>
          <t>Product Specifications</t>
        </is>
      </c>
      <c r="C1" s="2" t="n"/>
      <c r="D1" s="2" t="n"/>
      <c r="E1" s="2" t="n"/>
      <c r="F1" s="2" t="n"/>
    </row>
    <row r="3" ht="20" customHeight="1">
      <c r="B3" s="8" t="inlineStr">
        <is>
          <t>Product Type</t>
        </is>
      </c>
      <c r="C3" s="8" t="inlineStr">
        <is>
          <t>AP (m²/m³)</t>
        </is>
      </c>
      <c r="D3" s="8" t="inlineStr">
        <is>
          <t>Wall Thickness (mm)</t>
        </is>
      </c>
      <c r="E3" s="8" t="inlineStr">
        <is>
          <t>Pitch (mm)</t>
        </is>
      </c>
      <c r="F3" s="8" t="inlineStr">
        <is>
          <t>Channel Type</t>
        </is>
      </c>
    </row>
    <row r="4" ht="16" customHeight="1">
      <c r="B4" s="21" t="n"/>
      <c r="C4" s="21" t="n"/>
      <c r="D4" s="21" t="n"/>
      <c r="E4" s="21" t="n"/>
      <c r="F4" s="21" t="n"/>
    </row>
    <row r="5" ht="16" customHeight="1">
      <c r="B5" s="21" t="n"/>
      <c r="C5" s="21" t="n"/>
      <c r="D5" s="21" t="n"/>
      <c r="E5" s="21" t="n"/>
      <c r="F5" s="21" t="n"/>
    </row>
    <row r="6" ht="16" customHeight="1">
      <c r="B6" s="21" t="n"/>
      <c r="C6" s="21" t="n"/>
      <c r="D6" s="21" t="n"/>
      <c r="E6" s="21" t="n"/>
      <c r="F6" s="21" t="n"/>
    </row>
    <row r="7" ht="16" customHeight="1">
      <c r="B7" s="21" t="n"/>
      <c r="C7" s="21" t="n"/>
      <c r="D7" s="21" t="n"/>
      <c r="E7" s="21" t="n"/>
      <c r="F7" s="21" t="n"/>
    </row>
    <row r="8" ht="16" customHeight="1">
      <c r="B8" s="21" t="n"/>
      <c r="C8" s="21" t="n"/>
      <c r="D8" s="21" t="n"/>
      <c r="E8" s="21" t="n"/>
      <c r="F8" s="21" t="n"/>
    </row>
  </sheetData>
  <mergeCells count="1">
    <mergeCell ref="B1:F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B1:R7"/>
  <sheetViews>
    <sheetView workbookViewId="0">
      <selection activeCell="A1" sqref="A1"/>
    </sheetView>
  </sheetViews>
  <sheetFormatPr baseColWidth="8" defaultRowHeight="15"/>
  <cols>
    <col width="3" customWidth="1" min="1" max="1"/>
    <col width="20" customWidth="1" min="2" max="2"/>
    <col width="20" customWidth="1" min="3" max="3"/>
    <col width="20" customWidth="1" min="4" max="4"/>
    <col width="20" customWidth="1" min="5" max="5"/>
    <col width="20" customWidth="1" min="6" max="6"/>
    <col width="20" customWidth="1" min="7" max="7"/>
    <col width="20" customWidth="1" min="8" max="8"/>
    <col width="20" customWidth="1" min="9" max="9"/>
    <col width="20" customWidth="1" min="10" max="10"/>
    <col width="20" customWidth="1" min="11" max="11"/>
    <col width="20" customWidth="1" min="12" max="12"/>
    <col width="20" customWidth="1" min="13" max="13"/>
    <col width="20" customWidth="1" min="14" max="14"/>
    <col width="20" customWidth="1" min="15" max="15"/>
    <col width="20" customWidth="1" min="16" max="16"/>
    <col width="20" customWidth="1" min="17" max="17"/>
    <col width="20" customWidth="1" min="18" max="18"/>
  </cols>
  <sheetData>
    <row r="1" ht="24" customHeight="1">
      <c r="B1" s="1" t="inlineStr">
        <is>
          <t>Lists &amp; Dropdown Sources</t>
        </is>
      </c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</row>
    <row r="3">
      <c r="B3" s="20" t="inlineStr">
        <is>
          <t>SampleType</t>
        </is>
      </c>
      <c r="C3" s="20" t="inlineStr">
        <is>
          <t>GeometryType</t>
        </is>
      </c>
      <c r="D3" s="20" t="inlineStr">
        <is>
          <t>TestType</t>
        </is>
      </c>
      <c r="E3" s="20" t="inlineStr">
        <is>
          <t>SamplePoint</t>
        </is>
      </c>
      <c r="F3" s="20" t="inlineStr">
        <is>
          <t>NOxAnalyzer</t>
        </is>
      </c>
      <c r="G3" s="20" t="inlineStr">
        <is>
          <t>NH3Method</t>
        </is>
      </c>
      <c r="H3" s="20" t="inlineStr">
        <is>
          <t>SO2Method</t>
        </is>
      </c>
      <c r="I3" s="20" t="inlineStr">
        <is>
          <t>SO2Stage</t>
        </is>
      </c>
      <c r="J3" s="20" t="inlineStr">
        <is>
          <t>TempContext</t>
        </is>
      </c>
      <c r="K3" s="20" t="inlineStr">
        <is>
          <t>FlowContext</t>
        </is>
      </c>
      <c r="L3" s="20" t="inlineStr">
        <is>
          <t>O2Context</t>
        </is>
      </c>
      <c r="M3" s="20" t="inlineStr">
        <is>
          <t>EntryType</t>
        </is>
      </c>
      <c r="N3" s="20" t="inlineStr">
        <is>
          <t>YesNo</t>
        </is>
      </c>
      <c r="O3" s="20" t="inlineStr">
        <is>
          <t>TrueFalse</t>
        </is>
      </c>
      <c r="P3" s="20" t="inlineStr">
        <is>
          <t>InletSO3Source</t>
        </is>
      </c>
      <c r="Q3" s="20" t="inlineStr">
        <is>
          <t>SO2Source</t>
        </is>
      </c>
      <c r="R3" s="20" t="inlineStr">
        <is>
          <t>Technicians</t>
        </is>
      </c>
    </row>
    <row r="4">
      <c r="B4" s="21" t="inlineStr">
        <is>
          <t>Honeycomb</t>
        </is>
      </c>
      <c r="C4" s="21" t="inlineStr">
        <is>
          <t>HC</t>
        </is>
      </c>
      <c r="D4" s="21" t="inlineStr">
        <is>
          <t>Activity</t>
        </is>
      </c>
      <c r="E4" s="21" t="inlineStr">
        <is>
          <t>Inlet</t>
        </is>
      </c>
      <c r="F4" s="21" t="inlineStr">
        <is>
          <t>FTIR</t>
        </is>
      </c>
      <c r="G4" s="21" t="inlineStr">
        <is>
          <t>FTIR</t>
        </is>
      </c>
      <c r="H4" s="21" t="inlineStr">
        <is>
          <t>FTIR</t>
        </is>
      </c>
      <c r="I4" s="21" t="inlineStr">
        <is>
          <t>Pre</t>
        </is>
      </c>
      <c r="J4" s="21" t="inlineStr">
        <is>
          <t>Pre-Test</t>
        </is>
      </c>
      <c r="K4" s="21" t="inlineStr">
        <is>
          <t>Pre-Test</t>
        </is>
      </c>
      <c r="L4" s="21" t="inlineStr">
        <is>
          <t>Pre-Test</t>
        </is>
      </c>
      <c r="M4" s="21" t="inlineStr">
        <is>
          <t>Form</t>
        </is>
      </c>
      <c r="N4" s="21" t="inlineStr">
        <is>
          <t>Yes</t>
        </is>
      </c>
      <c r="O4" s="21" t="inlineStr">
        <is>
          <t>TRUE</t>
        </is>
      </c>
      <c r="P4" s="21" t="inlineStr">
        <is>
          <t>Average</t>
        </is>
      </c>
      <c r="Q4" s="21" t="inlineStr">
        <is>
          <t>Validation</t>
        </is>
      </c>
      <c r="R4" s="21" t="inlineStr">
        <is>
          <t>Tech1</t>
        </is>
      </c>
    </row>
    <row r="5">
      <c r="B5" s="21" t="inlineStr">
        <is>
          <t>Plate</t>
        </is>
      </c>
      <c r="C5" s="21" t="inlineStr">
        <is>
          <t>Plate</t>
        </is>
      </c>
      <c r="D5" s="21" t="inlineStr">
        <is>
          <t>Conversion</t>
        </is>
      </c>
      <c r="E5" s="21" t="inlineStr">
        <is>
          <t>Outlet</t>
        </is>
      </c>
      <c r="F5" s="21" t="inlineStr">
        <is>
          <t>NOxAn</t>
        </is>
      </c>
      <c r="G5" s="21" t="inlineStr">
        <is>
          <t>IC</t>
        </is>
      </c>
      <c r="H5" s="21" t="inlineStr">
        <is>
          <t>IC</t>
        </is>
      </c>
      <c r="I5" s="21" t="inlineStr">
        <is>
          <t>Test</t>
        </is>
      </c>
      <c r="J5" s="21" t="inlineStr">
        <is>
          <t>During Test</t>
        </is>
      </c>
      <c r="K5" s="21" t="inlineStr">
        <is>
          <t>During Test</t>
        </is>
      </c>
      <c r="L5" s="21" t="inlineStr">
        <is>
          <t>During Test</t>
        </is>
      </c>
      <c r="M5" s="21" t="inlineStr">
        <is>
          <t>Manual</t>
        </is>
      </c>
      <c r="N5" s="21" t="inlineStr">
        <is>
          <t>No</t>
        </is>
      </c>
      <c r="O5" s="21" t="inlineStr">
        <is>
          <t>FALSE</t>
        </is>
      </c>
      <c r="P5" s="21" t="inlineStr">
        <is>
          <t>RecordID</t>
        </is>
      </c>
      <c r="Q5" s="21" t="inlineStr">
        <is>
          <t>Test Average</t>
        </is>
      </c>
      <c r="R5" s="21" t="inlineStr">
        <is>
          <t>Tech2</t>
        </is>
      </c>
    </row>
    <row r="6">
      <c r="B6" s="21" t="inlineStr">
        <is>
          <t>Corrugated</t>
        </is>
      </c>
      <c r="C6" s="21" t="inlineStr">
        <is>
          <t>Corrugated</t>
        </is>
      </c>
      <c r="I6" s="21" t="inlineStr">
        <is>
          <t>Post</t>
        </is>
      </c>
      <c r="M6" s="21" t="inlineStr">
        <is>
          <t>Import</t>
        </is>
      </c>
      <c r="Q6" s="21" t="inlineStr">
        <is>
          <t>RecordID</t>
        </is>
      </c>
      <c r="R6" s="21" t="inlineStr">
        <is>
          <t>Tech3</t>
        </is>
      </c>
    </row>
    <row r="7">
      <c r="R7" s="21" t="inlineStr">
        <is>
          <t>Tech4</t>
        </is>
      </c>
    </row>
  </sheetData>
  <mergeCells count="1">
    <mergeCell ref="B1:R1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B1:D13"/>
  <sheetViews>
    <sheetView workbookViewId="0">
      <selection activeCell="A1" sqref="A1"/>
    </sheetView>
  </sheetViews>
  <sheetFormatPr baseColWidth="8" defaultRowHeight="15"/>
  <cols>
    <col width="3" customWidth="1" min="1" max="1"/>
    <col width="30" customWidth="1" min="2" max="2"/>
    <col width="18" customWidth="1" min="3" max="3"/>
    <col width="40" customWidth="1" min="4" max="4"/>
    <col width="3" customWidth="1" min="5" max="5"/>
  </cols>
  <sheetData>
    <row r="1" ht="24" customHeight="1">
      <c r="B1" s="1" t="inlineStr">
        <is>
          <t>Constants</t>
        </is>
      </c>
      <c r="C1" s="2" t="n"/>
      <c r="D1" s="2" t="n"/>
    </row>
    <row r="3" ht="20" customHeight="1">
      <c r="B3" s="8" t="inlineStr">
        <is>
          <t>Name</t>
        </is>
      </c>
      <c r="C3" s="8" t="inlineStr">
        <is>
          <t>Value</t>
        </is>
      </c>
      <c r="D3" s="8" t="inlineStr">
        <is>
          <t>Description</t>
        </is>
      </c>
    </row>
    <row r="4" ht="16" customHeight="1">
      <c r="B4" s="5" t="inlineStr">
        <is>
          <t>H2O_Reference</t>
        </is>
      </c>
      <c r="C4" s="9" t="n">
        <v>0.18</v>
      </c>
      <c r="D4" s="22" t="inlineStr">
        <is>
          <t>H₂O reference for fallback chain (18%)</t>
        </is>
      </c>
    </row>
    <row r="5" ht="16" customHeight="1">
      <c r="B5" s="5" t="inlineStr">
        <is>
          <t>MolarMass_NO</t>
        </is>
      </c>
      <c r="C5" s="9" t="n">
        <v>30.01</v>
      </c>
      <c r="D5" s="22" t="inlineStr">
        <is>
          <t>g/mol</t>
        </is>
      </c>
    </row>
    <row r="6" ht="16" customHeight="1">
      <c r="B6" s="5" t="inlineStr">
        <is>
          <t>MolarMass_NO2</t>
        </is>
      </c>
      <c r="C6" s="9" t="n">
        <v>46.01</v>
      </c>
      <c r="D6" s="22" t="inlineStr">
        <is>
          <t>g/mol</t>
        </is>
      </c>
    </row>
    <row r="7" ht="16" customHeight="1">
      <c r="B7" s="5" t="inlineStr">
        <is>
          <t>MolarMass_NH3</t>
        </is>
      </c>
      <c r="C7" s="9" t="n">
        <v>17.03</v>
      </c>
      <c r="D7" s="22" t="inlineStr">
        <is>
          <t>g/mol</t>
        </is>
      </c>
    </row>
    <row r="8" ht="16" customHeight="1">
      <c r="B8" s="5" t="inlineStr">
        <is>
          <t>MolarMass_SO2</t>
        </is>
      </c>
      <c r="C8" s="9" t="n">
        <v>64.06999999999999</v>
      </c>
      <c r="D8" s="22" t="inlineStr">
        <is>
          <t>g/mol</t>
        </is>
      </c>
    </row>
    <row r="9" ht="16" customHeight="1">
      <c r="B9" s="5" t="inlineStr">
        <is>
          <t>MolarMass_SO3</t>
        </is>
      </c>
      <c r="C9" s="9" t="n">
        <v>80.06</v>
      </c>
      <c r="D9" s="22" t="inlineStr">
        <is>
          <t>g/mol</t>
        </is>
      </c>
    </row>
    <row r="10" ht="16" customHeight="1">
      <c r="B10" s="5" t="inlineStr">
        <is>
          <t>STP_Temp_K</t>
        </is>
      </c>
      <c r="C10" s="9" t="n">
        <v>273.15</v>
      </c>
      <c r="D10" s="22" t="inlineStr">
        <is>
          <t>Standard temperature (K)</t>
        </is>
      </c>
    </row>
    <row r="11" ht="16" customHeight="1">
      <c r="B11" s="5" t="inlineStr">
        <is>
          <t>STP_Pressure_mmHg</t>
        </is>
      </c>
      <c r="C11" s="9" t="n">
        <v>760</v>
      </c>
      <c r="D11" s="22" t="inlineStr">
        <is>
          <t>Standard pressure (mmHg)</t>
        </is>
      </c>
    </row>
    <row r="12" ht="16" customHeight="1">
      <c r="B12" s="5" t="inlineStr">
        <is>
          <t>IdealGasVol_L</t>
        </is>
      </c>
      <c r="C12" s="9" t="n">
        <v>22.414</v>
      </c>
      <c r="D12" s="22" t="inlineStr">
        <is>
          <t>Ideal gas molar volume at STP (L/mol)</t>
        </is>
      </c>
    </row>
    <row r="13" ht="16" customHeight="1">
      <c r="B13" s="5" t="inlineStr">
        <is>
          <t>Nm3_to_scfm_Factor</t>
        </is>
      </c>
      <c r="C13" s="9" t="n">
        <v>0.58858</v>
      </c>
      <c r="D13" s="22" t="inlineStr">
        <is>
          <t>Conversion factor Nm³/h → scfm</t>
        </is>
      </c>
    </row>
  </sheetData>
  <mergeCells count="1">
    <mergeCell ref="B1:D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2026-03-10T21:13:33Z</dcterms:created>
  <dcterms:modified xsi:type="dcterms:W3CDTF">2026-03-10T21:13:33Z</dcterms:modified>
</cp:coreProperties>
</file>